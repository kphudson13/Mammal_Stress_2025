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5.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6.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7.xml" ContentType="application/vnd.openxmlformats-officedocument.drawing+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8.xml" ContentType="application/vnd.openxmlformats-officedocument.drawing+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defaultThemeVersion="166925"/>
  <mc:AlternateContent xmlns:mc="http://schemas.openxmlformats.org/markup-compatibility/2006">
    <mc:Choice Requires="x15">
      <x15ac:absPath xmlns:x15ac="http://schemas.microsoft.com/office/spreadsheetml/2010/11/ac" url="/Users/abbeyleon/Library/Containers/com.apple.mail/Data/Library/Mail Downloads/8F35FB7E-C8F2-46CA-9547-A07CC4455F25/"/>
    </mc:Choice>
  </mc:AlternateContent>
  <xr:revisionPtr revIDLastSave="0" documentId="8_{859C8859-DAC1-B242-B5BA-2C9104BAD9DB}" xr6:coauthVersionLast="47" xr6:coauthVersionMax="47" xr10:uidLastSave="{00000000-0000-0000-0000-000000000000}"/>
  <bookViews>
    <workbookView xWindow="4300" yWindow="460" windowWidth="24500" windowHeight="16020" xr2:uid="{9E45DA50-CA16-1646-9589-C91C93DA8746}"/>
  </bookViews>
  <sheets>
    <sheet name="Main Data Sheet" sheetId="8" r:id="rId1"/>
    <sheet name="Corrected &amp; Uncorrected Graphs" sheetId="9" r:id="rId2"/>
    <sheet name="Sheet4" sheetId="14" r:id="rId3"/>
    <sheet name="New &amp; Old World Primate Graphs" sheetId="10" r:id="rId4"/>
    <sheet name="EIA Key" sheetId="4" r:id="rId5"/>
    <sheet name="Poster Graphs" sheetId="7" r:id="rId6"/>
    <sheet name="Old Data Sheet" sheetId="1" r:id="rId7"/>
    <sheet name="Old Graphs" sheetId="6" r:id="rId8"/>
    <sheet name="Practice Data Sheet (Graphing)" sheetId="3" r:id="rId9"/>
    <sheet name="Marsupials and Marine Mammals" sheetId="2"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77" i="8" l="1"/>
  <c r="R31" i="9"/>
  <c r="U31" i="9"/>
  <c r="V31" i="9"/>
  <c r="S32" i="9"/>
  <c r="T32" i="9"/>
  <c r="S33" i="9"/>
  <c r="T33" i="9"/>
  <c r="S36" i="9"/>
  <c r="R38" i="9"/>
  <c r="U38" i="9"/>
  <c r="V38" i="9"/>
  <c r="S39" i="9"/>
  <c r="T39" i="9"/>
  <c r="S40" i="9"/>
  <c r="T40" i="9"/>
  <c r="R43" i="9"/>
  <c r="U43" i="9"/>
  <c r="V43" i="9"/>
  <c r="S44" i="9"/>
  <c r="T44" i="9"/>
  <c r="S45" i="9"/>
  <c r="R50" i="9"/>
  <c r="U50" i="9"/>
  <c r="V50" i="9"/>
  <c r="R54" i="9"/>
  <c r="U54" i="9"/>
  <c r="V54" i="9"/>
  <c r="R60" i="9"/>
  <c r="U60" i="9"/>
  <c r="V60" i="9"/>
  <c r="R64" i="9"/>
  <c r="U64" i="9"/>
  <c r="V64" i="9"/>
  <c r="R72" i="9"/>
  <c r="U72" i="9"/>
  <c r="V72" i="9"/>
  <c r="R75" i="9"/>
  <c r="U75" i="9"/>
  <c r="V75" i="9"/>
  <c r="R76" i="9"/>
  <c r="U76" i="9"/>
  <c r="V76" i="9"/>
  <c r="R77" i="9"/>
  <c r="U77" i="9"/>
  <c r="V77" i="9"/>
  <c r="R80" i="9"/>
  <c r="U80" i="9"/>
  <c r="V80" i="9"/>
  <c r="S22" i="9"/>
  <c r="T22" i="9"/>
  <c r="S23" i="9"/>
  <c r="T23" i="9"/>
  <c r="R92" i="9"/>
  <c r="U92" i="9"/>
  <c r="V92" i="9"/>
  <c r="R99" i="9"/>
  <c r="U99" i="9"/>
  <c r="V99" i="9"/>
  <c r="J99" i="9"/>
  <c r="I99" i="9"/>
  <c r="H99" i="9"/>
  <c r="G99" i="9"/>
  <c r="O94" i="9"/>
  <c r="M94" i="9"/>
  <c r="J92" i="9"/>
  <c r="I92" i="9"/>
  <c r="H92" i="9"/>
  <c r="G92" i="9"/>
  <c r="O24" i="9"/>
  <c r="M24" i="9"/>
  <c r="J80" i="9"/>
  <c r="I80" i="9"/>
  <c r="H80" i="9"/>
  <c r="G80" i="9"/>
  <c r="J77" i="9"/>
  <c r="I77" i="9"/>
  <c r="H77" i="9"/>
  <c r="G77" i="9"/>
  <c r="J76" i="9"/>
  <c r="I76" i="9"/>
  <c r="H76" i="9"/>
  <c r="G76" i="9"/>
  <c r="H75" i="9"/>
  <c r="G75" i="9"/>
  <c r="J72" i="9"/>
  <c r="I72" i="9"/>
  <c r="H72" i="9"/>
  <c r="G72" i="9"/>
  <c r="H64" i="9"/>
  <c r="G64" i="9"/>
  <c r="J60" i="9"/>
  <c r="I60" i="9"/>
  <c r="H60" i="9"/>
  <c r="G60" i="9"/>
  <c r="H54" i="9"/>
  <c r="G54" i="9"/>
  <c r="J50" i="9"/>
  <c r="I50" i="9"/>
  <c r="H50" i="9"/>
  <c r="G50" i="9"/>
  <c r="J43" i="9"/>
  <c r="I43" i="9"/>
  <c r="H43" i="9"/>
  <c r="G43" i="9"/>
  <c r="J38" i="9"/>
  <c r="I38" i="9"/>
  <c r="H38" i="9"/>
  <c r="G38" i="9"/>
  <c r="O37" i="9"/>
  <c r="M37" i="9"/>
  <c r="H31" i="9"/>
  <c r="G31" i="9"/>
  <c r="H30" i="2"/>
  <c r="G28" i="2"/>
  <c r="H28" i="2"/>
  <c r="R28" i="2"/>
  <c r="U28" i="2"/>
  <c r="V28" i="2"/>
  <c r="G83" i="1"/>
  <c r="L39" i="7"/>
  <c r="L40" i="7"/>
  <c r="L41" i="7"/>
  <c r="L51" i="7"/>
  <c r="L61" i="7"/>
  <c r="L74" i="7"/>
  <c r="L75" i="7"/>
  <c r="L77" i="7"/>
  <c r="L78" i="7"/>
  <c r="L79" i="7"/>
  <c r="L80" i="7"/>
  <c r="L81" i="7"/>
  <c r="L82" i="7"/>
  <c r="L83" i="7"/>
  <c r="L84" i="7"/>
  <c r="L85" i="7"/>
  <c r="L86" i="7"/>
  <c r="L87" i="7"/>
  <c r="L90" i="7"/>
  <c r="L94" i="7"/>
  <c r="L97" i="7"/>
  <c r="L38" i="7"/>
  <c r="K9" i="7"/>
  <c r="K11" i="7"/>
  <c r="K12" i="7"/>
  <c r="K13" i="7"/>
  <c r="K22" i="7"/>
  <c r="K37" i="7"/>
  <c r="K44" i="7"/>
  <c r="K46" i="7"/>
  <c r="K60" i="7"/>
  <c r="K61" i="7"/>
  <c r="K62" i="7"/>
  <c r="K67" i="7"/>
  <c r="K68" i="7"/>
  <c r="K70" i="7"/>
  <c r="K71" i="7"/>
  <c r="K73" i="7"/>
  <c r="K74" i="7"/>
  <c r="K75" i="7"/>
  <c r="K76" i="7"/>
  <c r="K77" i="7"/>
  <c r="K78" i="7"/>
  <c r="K79" i="7"/>
  <c r="K80" i="7"/>
  <c r="K81" i="7"/>
  <c r="K82" i="7"/>
  <c r="K83" i="7"/>
  <c r="K84" i="7"/>
  <c r="K85" i="7"/>
  <c r="K86" i="7"/>
  <c r="K87" i="7"/>
  <c r="K88" i="7"/>
  <c r="K89" i="7"/>
  <c r="K90" i="7"/>
  <c r="K92" i="7"/>
  <c r="K95" i="7"/>
  <c r="K96" i="7"/>
  <c r="K98" i="7"/>
  <c r="K99" i="7"/>
  <c r="K102" i="7"/>
  <c r="K6" i="7"/>
  <c r="H4" i="7"/>
  <c r="H6" i="7"/>
  <c r="H7" i="7"/>
  <c r="H9" i="7"/>
  <c r="H10" i="7"/>
  <c r="H15" i="7"/>
  <c r="H16" i="7"/>
  <c r="H17" i="7"/>
  <c r="H18" i="7"/>
  <c r="H21" i="7"/>
  <c r="H22" i="7"/>
  <c r="H23" i="7"/>
  <c r="H29" i="7"/>
  <c r="H34" i="7"/>
  <c r="H37" i="7"/>
  <c r="H42" i="7"/>
  <c r="H43" i="7"/>
  <c r="H44" i="7"/>
  <c r="H47" i="7"/>
  <c r="H49" i="7"/>
  <c r="H50" i="7"/>
  <c r="H51" i="7"/>
  <c r="H52" i="7"/>
  <c r="H53" i="7"/>
  <c r="H54" i="7"/>
  <c r="H55" i="7"/>
  <c r="H56" i="7"/>
  <c r="H58" i="7"/>
  <c r="H59" i="7"/>
  <c r="H61" i="7"/>
  <c r="H63" i="7"/>
  <c r="H64" i="7"/>
  <c r="H65" i="7"/>
  <c r="H68" i="7"/>
  <c r="H70" i="7"/>
  <c r="H72" i="7"/>
  <c r="H75" i="7"/>
  <c r="H78" i="7"/>
  <c r="H80" i="7"/>
  <c r="H82" i="7"/>
  <c r="H87" i="7"/>
  <c r="H91" i="7"/>
  <c r="H92" i="7"/>
  <c r="H93" i="7"/>
  <c r="H97" i="7"/>
  <c r="H98" i="7"/>
  <c r="H100" i="7"/>
  <c r="H101" i="7"/>
  <c r="H3" i="7"/>
  <c r="J39" i="7"/>
  <c r="J40" i="7"/>
  <c r="J41" i="7"/>
  <c r="J48" i="7"/>
  <c r="J49" i="7"/>
  <c r="J50" i="7"/>
  <c r="J51" i="7"/>
  <c r="J61" i="7"/>
  <c r="J74" i="7"/>
  <c r="J75" i="7"/>
  <c r="J77" i="7"/>
  <c r="J78" i="7"/>
  <c r="J79" i="7"/>
  <c r="J80" i="7"/>
  <c r="J81" i="7"/>
  <c r="J82" i="7"/>
  <c r="J83" i="7"/>
  <c r="J84" i="7"/>
  <c r="J85" i="7"/>
  <c r="J86" i="7"/>
  <c r="J87" i="7"/>
  <c r="J90" i="7"/>
  <c r="J94" i="7"/>
  <c r="J97" i="7"/>
  <c r="J38" i="7"/>
  <c r="I6" i="7"/>
  <c r="I9" i="7"/>
  <c r="I10" i="7"/>
  <c r="I11" i="7"/>
  <c r="I12" i="7"/>
  <c r="I13" i="7"/>
  <c r="I22" i="7"/>
  <c r="I37" i="7"/>
  <c r="I44" i="7"/>
  <c r="I46" i="7"/>
  <c r="I52" i="7"/>
  <c r="I60" i="7"/>
  <c r="I61" i="7"/>
  <c r="I62" i="7"/>
  <c r="I67" i="7"/>
  <c r="I68" i="7"/>
  <c r="I70" i="7"/>
  <c r="I71" i="7"/>
  <c r="I73" i="7"/>
  <c r="I74" i="7"/>
  <c r="I75" i="7"/>
  <c r="I76" i="7"/>
  <c r="I77" i="7"/>
  <c r="I78" i="7"/>
  <c r="I79" i="7"/>
  <c r="I80" i="7"/>
  <c r="I81" i="7"/>
  <c r="I82" i="7"/>
  <c r="I83" i="7"/>
  <c r="I84" i="7"/>
  <c r="I85" i="7"/>
  <c r="I86" i="7"/>
  <c r="I87" i="7"/>
  <c r="I88" i="7"/>
  <c r="I89" i="7"/>
  <c r="I90" i="7"/>
  <c r="I91" i="7"/>
  <c r="I92" i="7"/>
  <c r="I95" i="7"/>
  <c r="I96" i="7"/>
  <c r="I98" i="7"/>
  <c r="I99" i="7"/>
  <c r="I102" i="7"/>
  <c r="I3" i="7"/>
  <c r="G3" i="7"/>
  <c r="G4" i="7"/>
  <c r="G5" i="7"/>
  <c r="G6" i="7"/>
  <c r="G7" i="7"/>
  <c r="G8" i="7"/>
  <c r="G9" i="7"/>
  <c r="G10" i="7"/>
  <c r="G11" i="7"/>
  <c r="G12" i="7"/>
  <c r="G13" i="7"/>
  <c r="G14" i="7"/>
  <c r="G15" i="7"/>
  <c r="G16" i="7"/>
  <c r="G17" i="7"/>
  <c r="G18" i="7"/>
  <c r="G19" i="7"/>
  <c r="G20" i="7"/>
  <c r="G21" i="7"/>
  <c r="G22" i="7"/>
  <c r="G23"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2" i="7"/>
  <c r="G61" i="1"/>
  <c r="I86" i="1"/>
  <c r="H86" i="1"/>
  <c r="G86" i="1"/>
  <c r="G80" i="1"/>
  <c r="G77" i="1"/>
  <c r="G78" i="1"/>
  <c r="G75" i="1"/>
  <c r="G79" i="1"/>
  <c r="G74" i="1"/>
  <c r="G81" i="1"/>
  <c r="G82" i="1"/>
  <c r="G84" i="1"/>
  <c r="G85" i="1"/>
  <c r="G90" i="1"/>
  <c r="G87" i="1"/>
  <c r="I87" i="1"/>
  <c r="H87" i="1"/>
  <c r="I90" i="1"/>
  <c r="H90" i="1"/>
  <c r="I85" i="1"/>
  <c r="I84" i="1"/>
  <c r="I83" i="1"/>
  <c r="I82" i="1"/>
  <c r="I81" i="1"/>
  <c r="H85" i="1"/>
  <c r="H84" i="1"/>
  <c r="H83" i="1"/>
  <c r="H82" i="1"/>
  <c r="H81" i="1"/>
  <c r="I74" i="1"/>
  <c r="I79" i="1"/>
  <c r="H74" i="1"/>
  <c r="H79" i="1"/>
</calcChain>
</file>

<file path=xl/sharedStrings.xml><?xml version="1.0" encoding="utf-8"?>
<sst xmlns="http://schemas.openxmlformats.org/spreadsheetml/2006/main" count="3647" uniqueCount="542">
  <si>
    <t>Fecal CORT</t>
  </si>
  <si>
    <t>(adjusted to dry mass)</t>
  </si>
  <si>
    <t>Paper Information</t>
  </si>
  <si>
    <t>AnAge Data</t>
  </si>
  <si>
    <t>Notes</t>
  </si>
  <si>
    <t>Source</t>
  </si>
  <si>
    <t>Primate?</t>
  </si>
  <si>
    <t>Species</t>
  </si>
  <si>
    <t>Basal Cortisol (ng/g)</t>
  </si>
  <si>
    <t>Basal Corticosterone (ng/g)</t>
  </si>
  <si>
    <t>Elev.Cortisol (ng/g)</t>
  </si>
  <si>
    <t>Elev. Corticosterone (ng/g)</t>
  </si>
  <si>
    <t>Basal Cortisol + Basal Corticosterone</t>
  </si>
  <si>
    <t>Basal Total FGC (ng/g)</t>
  </si>
  <si>
    <t>Elevated Total FGC (ng/g)</t>
  </si>
  <si>
    <t>Method</t>
  </si>
  <si>
    <t>Assay Type</t>
  </si>
  <si>
    <t>Stressor</t>
  </si>
  <si>
    <t>Feces Mass (wet or dry)</t>
  </si>
  <si>
    <t>Body Mass (g)</t>
  </si>
  <si>
    <t>Stage of Life (juvenile, pre-adult, adult)</t>
  </si>
  <si>
    <t>Max Lifespan (yr)</t>
  </si>
  <si>
    <t> Adult Body Mass (g)</t>
  </si>
  <si>
    <t>B/M (W/g)</t>
  </si>
  <si>
    <t>Temp (degrees Celsius)</t>
  </si>
  <si>
    <t>RMR (ml O2/hr)</t>
  </si>
  <si>
    <t>Metabolic Rate References</t>
  </si>
  <si>
    <t>General Notes</t>
  </si>
  <si>
    <t>Yes</t>
  </si>
  <si>
    <t>Alouatta pigra</t>
  </si>
  <si>
    <t xml:space="preserve">   </t>
  </si>
  <si>
    <t>EIA</t>
  </si>
  <si>
    <t>anesthesia</t>
  </si>
  <si>
    <t>wet</t>
  </si>
  <si>
    <t>adult</t>
  </si>
  <si>
    <t>N/A</t>
  </si>
  <si>
    <t>This paper measures total fecal glucocorticoids instead of separating cortisol and corticosterone.For baseline values, I used plotdigitizer</t>
  </si>
  <si>
    <t>https://link.springer.com/article/10.1007/s10764-008-9308-z</t>
  </si>
  <si>
    <t>highlighted species are species with odd values that may need review</t>
  </si>
  <si>
    <t>Bos taurus</t>
  </si>
  <si>
    <t>HPLC?</t>
  </si>
  <si>
    <t>highlighted in yellow in the adjusted to dray mass section are  organisms that it is unclear if dry or wet mass was used</t>
  </si>
  <si>
    <t>adult (pregnant and lactating)</t>
  </si>
  <si>
    <t>I took the average of the baseline and peak concentrations for both the high yield and low yield cows. Since this study was on dairy cows, there were no males included. I cannot determine if the feces mass is wet or dry</t>
  </si>
  <si>
    <t>https://www.sciencedirect.com/science/article/pii/S0022030213002920?via%3Dihub</t>
  </si>
  <si>
    <t>Capra aegargrus hircus</t>
  </si>
  <si>
    <t>ACTH</t>
  </si>
  <si>
    <t xml:space="preserve"> I also cannot tell whether the feces is dry or wet.</t>
  </si>
  <si>
    <t>https://www.researchgate.net/profile/Rupert-Palme/publication/235952868_Physiological_validation_of_a_non-invasive_method_for_measuring_adrenocortical_activity_in_goats/links/00463514b168495c01000000/Physiological-validation-of-a-non-invasive-method-for-measuring-adrenocortical-activity-in-goats.pdf</t>
  </si>
  <si>
    <t>Lepus americanus</t>
  </si>
  <si>
    <t>z</t>
  </si>
  <si>
    <t>dry</t>
  </si>
  <si>
    <t>https://link.springer.com/article/10.1007/s00360-008-0314-4</t>
  </si>
  <si>
    <t>Connochaetes taurinus</t>
  </si>
  <si>
    <t>adult and subadult</t>
  </si>
  <si>
    <t>https://journals.co.za/doi/abs/10.3957/056.051.0093</t>
  </si>
  <si>
    <t>Choeropsis liberiensis</t>
  </si>
  <si>
    <t>https://www.sciencedirect.com/science/article/pii/S0016648023001430</t>
  </si>
  <si>
    <t>Capreolus capreolus</t>
  </si>
  <si>
    <t>This article provides the concentration of basal and elevated metabolites. Is this still useful?</t>
  </si>
  <si>
    <t>https://www.sciencedirect.com/science/article/pii/S0016648001976567</t>
  </si>
  <si>
    <t>Cavia porcellus</t>
  </si>
  <si>
    <t>I am also not exactly sure what graph to use to obtain the elevated cortisol levels</t>
  </si>
  <si>
    <t>https://peerj.com/articles/1590/#</t>
  </si>
  <si>
    <t>Cebus apella/ Sapajus apella</t>
  </si>
  <si>
    <t>https://link.springer.com/article/10.1007/s10764-013-9703-y</t>
  </si>
  <si>
    <t>Hylobates pileatus</t>
  </si>
  <si>
    <t xml:space="preserve">Baseline and peak values were also given for the the gibbons exposed to anesthesia or transport but I only included the information for the ACTH challenge </t>
  </si>
  <si>
    <t>https://link.springer.com/article/10.1007/s10764-011-9532-9</t>
  </si>
  <si>
    <t>Microcebus murinus</t>
  </si>
  <si>
    <t>capture</t>
  </si>
  <si>
    <t>converted the cortisol levels from micrograms/g to nanograms/g</t>
  </si>
  <si>
    <t>https://www.sciencedirect.com/science/article/pii/S0016648013004292</t>
  </si>
  <si>
    <t xml:space="preserve"> I also cannot tell whether the feces is dry or wet. </t>
  </si>
  <si>
    <t>Lepus timidus</t>
  </si>
  <si>
    <t xml:space="preserve">In this paper, the FCMs are measured with two 11-oxoaetiochokanolone EIAs so the peaks are not measured in cortisol or corticosterone. For the basline level I took the average of the means of each EIA as well as for the elevated level but I am not sure if I should just use the values from one EIA and ignore the other. </t>
  </si>
  <si>
    <t>https://link.springer.com/article/10.1007/s10344-009-0297-9</t>
  </si>
  <si>
    <t>Mesocricetus auratus</t>
  </si>
  <si>
    <t>This paper reports FGC metabolite concentrations rather than dividing it into cortisol and corticosterone. I included the baseline and elevated levels in the column for cortisol for now</t>
  </si>
  <si>
    <t>https://link.springer.com/article/10.1007/s00360-010-0467-9</t>
  </si>
  <si>
    <t>https://journals.co.za/doi/abs/10.3957/056.051.0090</t>
  </si>
  <si>
    <t>Cerdocyon thous</t>
  </si>
  <si>
    <t>https://www.researchgate.net/profile/Regina-Paz/publication/269544331_Evaluation_of_Glucocorticoid_Faecal_Monitoring_as_a_Non-Invasive_Assessment_of_Stress_in_Captive_Crab-Eating_Fox_Cerdocyoun_thous_After_ACTH_Stimulation/links/54c6276d0cf256ed5a9ca591/Evaluation-of-Glucocorticoid-Faecal-Monitoring-as-a-Non-Invasive-Assessment-of-Stress-in-Captive-Crab-Eating-Fox-Cerdocyoun-thous-After-ACTH-Stimulation.pdf?_sg%5B0%5D=started_experiment_milestone&amp;origin=journalDetail</t>
  </si>
  <si>
    <t>Mazama gouazoubira</t>
  </si>
  <si>
    <t>adult and juveniles</t>
  </si>
  <si>
    <t>https://link.springer.com/article/10.1007/s10344-009-0350-8</t>
  </si>
  <si>
    <t>Blastocerus dichotomus</t>
  </si>
  <si>
    <t>For the baseline value, I used the baseline for captive marsh deer rather than the wild-capture marsh deer because their average FGM concentrations  were significantly higher (2,802 ng/g). I am not sure if I should include this value for the peak.</t>
  </si>
  <si>
    <t>Acomys cahirinus</t>
  </si>
  <si>
    <t>subadult</t>
  </si>
  <si>
    <t>To obtain the baseline and peak values, I used plotdigitizer</t>
  </si>
  <si>
    <t>https://www.sciencedirect.com/science/article/pii/S003193840800187X</t>
  </si>
  <si>
    <t>Tamandua tetradactyla</t>
  </si>
  <si>
    <t>https://onlinelibrary.wiley.com/doi/full/10.1002/zoo.21100</t>
  </si>
  <si>
    <t>Urocitellus parryii</t>
  </si>
  <si>
    <t>predation</t>
  </si>
  <si>
    <t>nonreproductive adults</t>
  </si>
  <si>
    <t xml:space="preserve">Data is avalilable for ACTH but the peaks from predation were much clearer so I used the data from that stressor instead. The metabolic rate was obtained from the Hasse et al. paper. The Hasse et al. paper also listed two masses (372 and 454) for the species so I took the average of the two. </t>
  </si>
  <si>
    <t>https://zslpublications.onlinelibrary.wiley.com/doi/full/10.1111/j.1469-7998.2011.00888.x</t>
  </si>
  <si>
    <t>I am not sure wheter this EIA from the key is correct because it says in the paper that it is an 11-oxoetiocholanolone-II but it also states that it tests 3α,11-oxo-CM</t>
  </si>
  <si>
    <t>Cebus apella</t>
  </si>
  <si>
    <t xml:space="preserve">I put the baseline and peak values for this EIA in the total FGC column but I am not sure if this is correct because it is measuring "5B-reduced cortisol metabolites" with a specific structure </t>
  </si>
  <si>
    <t>Propithecus verreauxi</t>
  </si>
  <si>
    <t>https://www.sciencedirect.com/science/article/pii/S0018506X07000384</t>
  </si>
  <si>
    <t>Gorilla gorilla gorilla</t>
  </si>
  <si>
    <t>various</t>
  </si>
  <si>
    <t>https://www.sciencedirect.com/science/article/pii/S0016648012003255</t>
  </si>
  <si>
    <t>Panthera tigris sumatrae</t>
  </si>
  <si>
    <t>drawing blood</t>
  </si>
  <si>
    <t>For these values it gives the mean FCM concentration for the tigers but I am not sure as to whether it is the mean peak or mean baseline value or if it is the mean value throughout the study. Review graphs*</t>
  </si>
  <si>
    <t>https://www.sciencedirect.com/science/article/pii/S0016648013004048</t>
  </si>
  <si>
    <t>Panthera tigris tigris</t>
  </si>
  <si>
    <t>Tolypeutes matacus</t>
  </si>
  <si>
    <t>Only two armadillos were used in the ACTH challenge. The paper also lists values from a longitudinal study where it includes more values. Should that be used instead?</t>
  </si>
  <si>
    <t>https://www.sciencedirect.com/science/article/pii/S0016648012001426</t>
  </si>
  <si>
    <t>Prionailurus viverrinus</t>
  </si>
  <si>
    <t>The ACTH challenge was only performed for one female adult so the results may not be representative of the entire species</t>
  </si>
  <si>
    <t>https://journals.plos.org/plosone/article?id=10.1371/journal.pone.0230239</t>
  </si>
  <si>
    <t>Rhinoceros unicornis</t>
  </si>
  <si>
    <t>The ACTH challenge was only performed for one male adult so the results may not be representative of the entire species</t>
  </si>
  <si>
    <t>https://onlinelibrary.wiley.com/doi/full/10.1002/zoo.21119</t>
  </si>
  <si>
    <t>Pecari tajacu</t>
  </si>
  <si>
    <t>ELISA or EIA ?</t>
  </si>
  <si>
    <t xml:space="preserve">Only males were used in this study. The study does not separate FCMs into cortisol or corticosterone, it just gives the value for the total metabolites which I inputed into the cortisol column. I obtained the peak value by multiplying the baseline value by 2.7 since the peak was an average of 2.7 times the baseline value. </t>
  </si>
  <si>
    <t>https://bioone.org/journals/journal-of-zoo-and-wildlife-medicine/volume-43/issue-2/2011-0046.1/VALIDATION-OF-A-FECAL-GLUCOCORTICOID-METABOLITE-ASSAY-FOR-COLLARED-PECCARIES/10.1638/2011-0046.1.full</t>
  </si>
  <si>
    <t>Gerbillus andersoni</t>
  </si>
  <si>
    <t>non-breeding adults</t>
  </si>
  <si>
    <t>There is no information avaliable for this species on AnAge. The paper says the average peak of the three gerbil species is 7754 ng/g with a range of 6610-9531. I am a little confused as to how to obtain the peak data from the graphs provided.</t>
  </si>
  <si>
    <t>https://www.mdpi.com/2076-2615/11/1/75</t>
  </si>
  <si>
    <t>Gerbillus gerbillus</t>
  </si>
  <si>
    <t>No females were used in the study. The paper says the average peak of the three gerbil species is 7754 ng/g with a range of 6610-9531. I am a little confused as to how to obtain the peak data from the graphs provided.</t>
  </si>
  <si>
    <t>Gerbillus pyramidum</t>
  </si>
  <si>
    <t>Peromyscus maniculatus</t>
  </si>
  <si>
    <t>&gt;17</t>
  </si>
  <si>
    <t>adult (non-reproductive)</t>
  </si>
  <si>
    <t>The data in the paper records concentrations in ln ng/g so I converted it to ng/g by doing e raised to the value provided. Initial concentrations were 7.27 ln ng/g and elevated were 7.77 ln ng/g</t>
  </si>
  <si>
    <t>https://www.mdpi.com/2076-2615/10/7/1120</t>
  </si>
  <si>
    <t>Elaphas maximus</t>
  </si>
  <si>
    <t>other</t>
  </si>
  <si>
    <t>Only males were used in this study. The paper also mentioned that some of the values were highest during september due to musth period</t>
  </si>
  <si>
    <t>https://www.mdpi.com/2076-2615/11/9/2723</t>
  </si>
  <si>
    <t>Elephas maximus</t>
  </si>
  <si>
    <t xml:space="preserve">For the baseline FGM level, I used the mean from the 20 elephants year round. </t>
  </si>
  <si>
    <t>https://www.ncbi.nlm.nih.gov/pmc/articles/PMC9047137/#sec1-8title</t>
  </si>
  <si>
    <t>Vulpes lagopus</t>
  </si>
  <si>
    <t>https://link.springer.com/article/10.1007/s00300-021-02917-1</t>
  </si>
  <si>
    <t>https://journals.co.za/doi/abs/10.3957/056.051.0092</t>
  </si>
  <si>
    <t>Vulpes vulpes</t>
  </si>
  <si>
    <t>https://www.sciencedirect.com/science/article/pii/S0168159117302502</t>
  </si>
  <si>
    <t>Spermophilus columbianus</t>
  </si>
  <si>
    <t>trapping</t>
  </si>
  <si>
    <t>cannot find any information from anage for this animal. Also I am not sure if the elevated levels are correct. For the body mass, I used only the 1981 values in the article in dropbox</t>
  </si>
  <si>
    <t>https://www.journals.uchicago.edu/doi/full/10.1086/597530</t>
  </si>
  <si>
    <t>Cervus elaphus roosevelti</t>
  </si>
  <si>
    <t>RIA</t>
  </si>
  <si>
    <t>https://www.sciencedirect.com/science/article/pii/S0016648000975579</t>
  </si>
  <si>
    <t>Macaca tonkeana</t>
  </si>
  <si>
    <t>relocation</t>
  </si>
  <si>
    <t>For the basal levels I took the average of the average basal levels for group a and b; for elevated I also took the average of the rates during the relocation process</t>
  </si>
  <si>
    <t>https://link.springer.com/article/10.1007/s10329-016-0590-7</t>
  </si>
  <si>
    <t>Cervus elaphus</t>
  </si>
  <si>
    <t xml:space="preserve">RIA </t>
  </si>
  <si>
    <t>The elk were monitored over the year and although the paper noted that they were at peak stress in the summer, I took the average of the yearly concentrations because they were not exposed to any specific stressor.</t>
  </si>
  <si>
    <t>https://www.jstor.org/stable/3784417?seq=1</t>
  </si>
  <si>
    <t>Odocoileus virginianus</t>
  </si>
  <si>
    <t>No males were used in the study</t>
  </si>
  <si>
    <t>https://www.jstor.org/stable/3784245?seq=1</t>
  </si>
  <si>
    <t>Lycaon pictus</t>
  </si>
  <si>
    <t>HPLC, RIA</t>
  </si>
  <si>
    <t>Two 2 yr-old females, one 3-yr old female, two 8 yr-old males</t>
  </si>
  <si>
    <t>The data is given in mean fecal corticosteriod metabolites so I put the baseline and elevated values in the cortisol column for now.</t>
  </si>
  <si>
    <t>https://www.jstor.org/stable/20095734</t>
  </si>
  <si>
    <t>Papio cynocephalus</t>
  </si>
  <si>
    <t>There is no information about this subspecies on AnAge. I am also confused as to which graph to use in the paper to find the information on basal and elevated cortisol and corticosterone.</t>
  </si>
  <si>
    <t>Diceros bicornis</t>
  </si>
  <si>
    <t>For basal cortisol I used the values the value on the graph 0 hours post-injection</t>
  </si>
  <si>
    <t>Otolemur garnettii</t>
  </si>
  <si>
    <t>About 4 yrs-old?</t>
  </si>
  <si>
    <t>I used plotdigitizer to obtain the basal and elevated cortisol levels</t>
  </si>
  <si>
    <t>https://www.ingentaconnect.com/content/aalas/jaalas/2005/00000044/00000003/art00003</t>
  </si>
  <si>
    <t>Syncerus caffer</t>
  </si>
  <si>
    <t>adults and subadults</t>
  </si>
  <si>
    <t>The EIA used in this paper was a cortisol EIA while the RIA was a corticosterone RIA. I included data for the RIA using plot digitizer and averaged the peaks from week 1 and 2. For the basline value, I used the point before the ACTH peak.</t>
  </si>
  <si>
    <t>https://academic.oup.com/jmammal/article/98/5/1288/4096804</t>
  </si>
  <si>
    <t>Panthera onca</t>
  </si>
  <si>
    <t>chemical restraint and electroejaculation</t>
  </si>
  <si>
    <t>Only males were used in this study</t>
  </si>
  <si>
    <t>https://www.scielo.br/j/bjmbr/a/V7KxBNKSzPQcXTtXqppSBCj/?lang=en</t>
  </si>
  <si>
    <t>Crocuta crocuta</t>
  </si>
  <si>
    <t>For baseline and elevated cortisol I took the average of the values provided for males and females. The EIA used was an "in-house" cortisol-3-CMO assay</t>
  </si>
  <si>
    <t>https://www.sciencedirect.com/science/article/pii/S001664801200202X</t>
  </si>
  <si>
    <t>Loxodonta africana</t>
  </si>
  <si>
    <t>The article provided a basal value for feces that was freeze-dried and for feces that was dehydrated. The value for dehydrated was 311 ng/g but I only included the freeze-drieed value because that method was more common among the species data. The metabolic rate and body mass were obtained from the Hasse et al. paper</t>
  </si>
  <si>
    <t>https://academic.oup.com/conphys/article/11/1/coad053/7234328</t>
  </si>
  <si>
    <t>Sapajus libidinosus</t>
  </si>
  <si>
    <t xml:space="preserve">2 or 4? </t>
  </si>
  <si>
    <t xml:space="preserve">For the baseline, I took the average of only the animals that were subjected to ACTH. I am having trouble determining which EiA was used for the results. </t>
  </si>
  <si>
    <t>https://link.springer.com/article/10.1007/s10764-017-9993-6#Tab3</t>
  </si>
  <si>
    <t>2,3</t>
  </si>
  <si>
    <t>I am not sure exactly which cortisol and corticosterone EIAs were used.</t>
  </si>
  <si>
    <t>https://journals.co.za/doi/abs/10.3957/056.051.0091</t>
  </si>
  <si>
    <t>2?</t>
  </si>
  <si>
    <t>I am having trouble determining which EIA was used for the results</t>
  </si>
  <si>
    <t>Mungos mungo</t>
  </si>
  <si>
    <t>9,10</t>
  </si>
  <si>
    <t>For corticosterone, I converted micrograms/g to nanograms/g</t>
  </si>
  <si>
    <t>https://www.sciencedirect.com/science/article/pii/S0016648012003280</t>
  </si>
  <si>
    <t>Giraffa camelopardalis</t>
  </si>
  <si>
    <t>For the baseline cortisol and corticosterone values, I took the average of the values provided before ACTH was administered and for peak I used the highest value for each assay. Obtained metabolic rate from Langman et al. 1982 paper</t>
  </si>
  <si>
    <t>https://link.springer.com/article/10.1186/s12917-016-0864-8#Sec18</t>
  </si>
  <si>
    <t>Ovibos moschatus</t>
  </si>
  <si>
    <t>juvenile</t>
  </si>
  <si>
    <t>For baseline cortisol and corticosterone, I took the average of the concentrations 0 hours post-injection and for the elevated levels, I took the average of the peaks for each animal. The values that I used were provided in the supplementary data sheet 3.</t>
  </si>
  <si>
    <t>https://journals.plos.org/plosone/article?id=10.1371/journal.pone.0249281</t>
  </si>
  <si>
    <t>Acinonyx jubatus</t>
  </si>
  <si>
    <t>EIA, RIA</t>
  </si>
  <si>
    <t>9,14</t>
  </si>
  <si>
    <t>longitudinal analysis</t>
  </si>
  <si>
    <t>https://www.sciencedirect.com/science/article/pii/S0016648004000620</t>
  </si>
  <si>
    <t>Felis catus</t>
  </si>
  <si>
    <t>Melursus ursinus</t>
  </si>
  <si>
    <t>Mustela nigripes</t>
  </si>
  <si>
    <t>Neofelis nebulosa</t>
  </si>
  <si>
    <t>Ursus thibetanus</t>
  </si>
  <si>
    <t>This article provided a lot of data and included basal and peak cortisone and corticosterone data for a longitudinal study and a short term study. I included the data from the longitudinal study which consited of averages of metabolite concentrations after being exposed to stressful events rather than the short term study. Should I take the average of both? This applies to ursus thibetanus through canis rufus</t>
  </si>
  <si>
    <t>Canis rufus</t>
  </si>
  <si>
    <t>No information was available on anage. The mean baseline and peak cortisol and corticosterone values were given for a female and a male so I took the averages of both. The cortisol and corticosterone values were higher for males than for females. I took the value for mass from the mammal body mass excel sheet</t>
  </si>
  <si>
    <t xml:space="preserve">Suricata suricatta </t>
  </si>
  <si>
    <t>Moschus berezovskii</t>
  </si>
  <si>
    <t>ELISA</t>
  </si>
  <si>
    <t>capture, restraint, and extraction of musk</t>
  </si>
  <si>
    <t>adult (ranged from 2-8 years)</t>
  </si>
  <si>
    <t>This study only researched fecal cortisol levels in male deers so values for baseline and elevated may not be fully representative of the species. For basal and elevated cortisol levels I took the averages of the data provided in the table and converted pg/g to ng/g</t>
  </si>
  <si>
    <t>https://web.s.ebscohost.com/ehost/detail/detail?vid=1&amp;sid=6678f7e8-94f8-4717-967f-865e238a50e4%40redis&amp;bdata=JkF1dGhUeXBlPWlwLHVpZCZzaXRlPWVob3N0LWxpdmU%3d#AN=146101625&amp;db=aph</t>
  </si>
  <si>
    <t>Ailuropoda melanoleuca</t>
  </si>
  <si>
    <t>artifical semen collection and artifical insemination</t>
  </si>
  <si>
    <t>Although the paper also provided fecal cortisol levels of the stress response to parturition, I did not include those values because the baseline levels were significantly higher than the female panda that was not giving birth.</t>
  </si>
  <si>
    <t>https://brill.com/view/journals/ab/61/3/article-p335_8.xml</t>
  </si>
  <si>
    <t>Ceratotherium simum</t>
  </si>
  <si>
    <t>HPLC</t>
  </si>
  <si>
    <t>restraint/relocation</t>
  </si>
  <si>
    <t>https://bioone.org/journals/journal-of-zoo-and-wildlife-medicine/volume-33/issue-3/1042-7260_2002_033_0214_RAOSIW_2.0.CO_2/REMOTE-ASSESSMENT-OF-STRESS-IN-WHITE-RHINOCEROS-CERATOTHERIUM-SIMUM-AND/10.1638/1042-7260(2002)033[0214:RAOSIW]2.0.CO;2.full</t>
  </si>
  <si>
    <t>Papio hamadryas ursinus</t>
  </si>
  <si>
    <t>reproductive cycle</t>
  </si>
  <si>
    <t>The data from anage is for the Papio hamadryas not specifically the Papio hamadryas ursinus. The basal levels of fecal cortisol are only from female baboons and I took the average of the "cycling" values provided (the basal value may be higher if males were also included). I am also unsure as to obtain the information for elevated cortisol since the animals were not subjected to a particular stressor.</t>
  </si>
  <si>
    <t>https://www.sciencedirect.com/science/article/pii/S0018506X04000145</t>
  </si>
  <si>
    <t>Pan troglodytes</t>
  </si>
  <si>
    <t>Anesthesia</t>
  </si>
  <si>
    <t>the article mentions that the baseline cortisol levels differed significantly for each of the four chimpanzees studied (base and elev are the average of the four).  The metabolic rate and body mass were obtained from the Hasse et al. paper.</t>
  </si>
  <si>
    <t>https://onlinelibrary.wiley.com/doi/epdf/10.1002/%28SICI%291098-2345%281998%2944%3A1%3C57%3A%3AAID-AJP5%3E3.0.CO%3B2-W</t>
  </si>
  <si>
    <t>Equus caballus</t>
  </si>
  <si>
    <t>I used figure 4 and plot digitizer to obtain the baseline and elevated levels. Since the stressor was a group transfer rather than something like ACTH, the peak values are not very much higher than the baseline values. The metabolic rate and body mass were obtained from the Hasse et al. paper</t>
  </si>
  <si>
    <t>https://www.sciencedirect.com/science/article/pii/S001664801300453X</t>
  </si>
  <si>
    <t>Equus grevyi</t>
  </si>
  <si>
    <t>https://zslpublications.onlinelibrary.wiley.com/doi/full/10.1111/j.1469-1795.2008.00175.x</t>
  </si>
  <si>
    <t>Helarctos malayanus</t>
  </si>
  <si>
    <t>For baseline cortisol, I used the lowest value on the graph since data wasn't available 24 pre-injection</t>
  </si>
  <si>
    <t>Litocranius walleri</t>
  </si>
  <si>
    <t>For basal cortisol I used the values the value on the graph 24 hours pre-injection</t>
  </si>
  <si>
    <t>Marmota flaviventris</t>
  </si>
  <si>
    <t>adult (non-breeding)</t>
  </si>
  <si>
    <t>While the baseline level was the average of several marmots, the only peak value provided was from one adult female marmot which I recorded in the elevated corticosterone column</t>
  </si>
  <si>
    <t>https://www.sciencedirect.com/science/article/pii/S0016648012002626</t>
  </si>
  <si>
    <t>Octodon degus</t>
  </si>
  <si>
    <t>https://onlinelibrary.wiley.com/doi/abs/10.1002/jez.546</t>
  </si>
  <si>
    <t>Oryx dammah</t>
  </si>
  <si>
    <t>R. t. tarandus</t>
  </si>
  <si>
    <t>In the paper, the pre-injection concentration of FGCs were "atypically elevated" in the male reindeer so the authors repeated the trial and found that the baseline concentrations were lower. Since there was no significant increase in FGCs after the ACTH injection, I only included the data for the female reindeer. The authors also note that the reindeer in the study were younger than the caribou they studied and say that might have affected the results </t>
  </si>
  <si>
    <t>https://www.sciencedirect.com/science/article/pii/S0016648011001432</t>
  </si>
  <si>
    <t>Rangifer tarandus granti</t>
  </si>
  <si>
    <t>This paper measures total glucocorticoids instead of separating cortisol and corticosterone.  The values from anage are the same for this species and the one below because anage does not show the values for the subspecies </t>
  </si>
  <si>
    <t>Ursus arctos horribilis</t>
  </si>
  <si>
    <t>For baseline and elevated cortisol I took the average of the values provided for males and females on the graphs. In the Hasse et al. paper there is a metabolic rate for Ursus arctos but not Ursus arctos horribilis. Should I input that value?</t>
  </si>
  <si>
    <t>https://www.journals.uchicago.edu/doi/full/10.1086/380209</t>
  </si>
  <si>
    <t>Panthera leo bleyenberghi</t>
  </si>
  <si>
    <t>EIA kit</t>
  </si>
  <si>
    <t>death of dominant male</t>
  </si>
  <si>
    <t>https://www.mdpi.com/2076-2615/11/7/1877</t>
  </si>
  <si>
    <t>Camelus dromedarius</t>
  </si>
  <si>
    <t>HPLC, EIA</t>
  </si>
  <si>
    <t>4?</t>
  </si>
  <si>
    <t>?</t>
  </si>
  <si>
    <t>juvenile and adult</t>
  </si>
  <si>
    <t>https://link.springer.com/article/10.1007/s11250-013-0374-7#Tab3</t>
  </si>
  <si>
    <t>Lama glama</t>
  </si>
  <si>
    <t>moose?</t>
  </si>
  <si>
    <t>dromedary camel?</t>
  </si>
  <si>
    <t>giant anteater?</t>
  </si>
  <si>
    <t>maybe I can find metabolism for polar bear</t>
  </si>
  <si>
    <t>eland?</t>
  </si>
  <si>
    <t>red kangaroo (marsupial though)?</t>
  </si>
  <si>
    <t>capybara?</t>
  </si>
  <si>
    <t>puma concolor</t>
  </si>
  <si>
    <t>llama?</t>
  </si>
  <si>
    <t>Elevated cortisol+corticosterone</t>
  </si>
  <si>
    <t>basal cort/ccst</t>
  </si>
  <si>
    <t>elevated cort/ccst</t>
  </si>
  <si>
    <t>Log body mass</t>
  </si>
  <si>
    <t>log MSMR</t>
  </si>
  <si>
    <t>Log basal cortisol</t>
  </si>
  <si>
    <t>log basal corticosterone</t>
  </si>
  <si>
    <t>log elevated cortisol</t>
  </si>
  <si>
    <t>log elevated corticosterone</t>
  </si>
  <si>
    <t>Name</t>
  </si>
  <si>
    <t>Assay Origins</t>
  </si>
  <si>
    <t>Number</t>
  </si>
  <si>
    <t>Count</t>
  </si>
  <si>
    <t>Relevant Papers</t>
  </si>
  <si>
    <t>11-oxoetiocholanolone I (11,17-DOA)</t>
  </si>
  <si>
    <t>Palme and Möstl, 1997</t>
  </si>
  <si>
    <t xml:space="preserve">CORT/Cortisol </t>
  </si>
  <si>
    <t xml:space="preserve">CCST/Corticosterone </t>
  </si>
  <si>
    <t>11-oxoetiocholanolone II (5ß-3α-hydroxy-11-oxo)</t>
  </si>
  <si>
    <t>Möstl et al. 2002</t>
  </si>
  <si>
    <t xml:space="preserve">3α,11-oxo-CM </t>
  </si>
  <si>
    <t xml:space="preserve">3α,11ß-dihydroxy-CM </t>
  </si>
  <si>
    <t>Ganswindt et al.2003</t>
  </si>
  <si>
    <t>Cortisol</t>
  </si>
  <si>
    <t>Heistermann et al. 2006</t>
  </si>
  <si>
    <t>Cortisol (Munro, R4866)</t>
  </si>
  <si>
    <t>Coralie Munro, Munro and Lasley, 1988</t>
  </si>
  <si>
    <t>Corticosterone (Munro, CJM06)</t>
  </si>
  <si>
    <t>Coralie Munro</t>
  </si>
  <si>
    <t>5α-pregnane-3ß,11ß,21-triol-20-one</t>
  </si>
  <si>
    <t>Tourma et al 2002</t>
  </si>
  <si>
    <t>Cortisol EIA Kit</t>
  </si>
  <si>
    <t>Enzo Life Sciences</t>
  </si>
  <si>
    <t>I^125 corticosterone RIA</t>
  </si>
  <si>
    <t>logitudinal analysis</t>
  </si>
  <si>
    <t>This paper measures total fecal glucocorticoids instead of separating cortisol and corticosterone. I took the average of the FGMs measured by both EIAs (11,17-Dioxoandrostanesa and 5β-3α-ol11-one corticoid metabolites) I inputed this into the cortisol column. For baseline values, I used plotdigitizer</t>
  </si>
  <si>
    <t>no data is available on anage for baboon subspecies aside from the Hamadryas baboon. Should I put that information into the columns for the other baboons?</t>
  </si>
  <si>
    <t>I used the data from table 2 and took the average of the mean values given for the cows at individual level and herd level; however, in the paper, the authors mention that the values they recorded were relatively low and cited other studies where the baseline cortisol levels were much higher.</t>
  </si>
  <si>
    <t>https://www.mdpi.com/2076-2615/10/10/1787</t>
  </si>
  <si>
    <t>Canis latrans</t>
  </si>
  <si>
    <t xml:space="preserve">I used Figure 6 in the paper to find basal and elevated corticosterone levels. Based on that graph, the cortisol levels did not change but I was able to obtain the baseline cortisol levels from Table 5 (ng/ml). I am not sure how to convert it to ng/g.  The results in the two graphs differed significantly. The females had higher corticosterone levels than the males.  </t>
  </si>
  <si>
    <t>https://link.springer.com/article/10.1007/s00360-017-1125-2</t>
  </si>
  <si>
    <t>No information was available on anage. The mean baseline and peak cortisol and corticosterone values were given for a female and a male so I took the averages of both. The cortisol and corticosterone values were higher for males than for females</t>
  </si>
  <si>
    <t>In this paper, the FCMs are measured with two 11-oxoaetiochokanolone EIAs  so I inputed it into the cortisol column. I also cannot tell whether the feces is dry or wet</t>
  </si>
  <si>
    <t>RIA, EIA, HPLC</t>
  </si>
  <si>
    <t>I am unsure  about which graph to extract the data from</t>
  </si>
  <si>
    <t>https://onlinelibrary.wiley.com/doi/abs/10.1002/jez.a.20030</t>
  </si>
  <si>
    <t>For baseline and elevated cortisol I took the average of the values provided for males and females</t>
  </si>
  <si>
    <t>The increase in cortisol was 7.22 ng/g in the article but I cannot find the baseline value</t>
  </si>
  <si>
    <t>I put an asterisk next to any unusual values in basal or elevated cortisol</t>
  </si>
  <si>
    <t>for 14-20 data for ACTH is available but it only represents data from one animal in the paper so I included the longitudinal analysis values instead</t>
  </si>
  <si>
    <t xml:space="preserve">In this paper, the FCMs are measured with two 11-oxoaetiochokanolone EIAs so the peaks are not measured in cortisol or corticosterone. I put the values form baseline and elevated GCMs in the cortisol columns. For the basline level I took the average of the means of each EIA as well as for the elevated level. </t>
  </si>
  <si>
    <t>adult female</t>
  </si>
  <si>
    <t>This study only tested the baseline and elevated fecal cortisol levels from only one elephant. I found another article (https://journals.co.za/doi/abs/10.10520/EJC99352) that includes data from more elephants but I cannot get access to it. Some of the other values from the paper look a little off.</t>
  </si>
  <si>
    <t>https://www.airitilibrary.com/Publication/alDetailedMesh?docid=20412908-201204-201507210032-201507210032-99-108</t>
  </si>
  <si>
    <t>Lynx canadensis</t>
  </si>
  <si>
    <t>I am having trouble extracting the data from the graphs because I am not sure which graphs to use since several different EIAs were used and have slightly different results.</t>
  </si>
  <si>
    <t>https://link.springer.com/article/10.1007/s00360-011-0597-8</t>
  </si>
  <si>
    <t>* next to species name= marsupial</t>
  </si>
  <si>
    <t>Should I create a column for total basal FGCs and elevated FGCs and include that information for each species?</t>
  </si>
  <si>
    <t>For the ages, should I include the average of the ages if provided or should I just write "adult, subadult, etc. "</t>
  </si>
  <si>
    <t>Would it be helpful to list the number of animals studied in each paper?</t>
  </si>
  <si>
    <t>the article mentions that the baseline cortisol levels differed significantly for each of the four chimpanzees studied (base and elev are the average of the four). While reviewing the data, I noticed that the data is given in ng/gm so I am not sure as to whether gm means grams or if it was supposed to be milligrams. The values that I listed the values if gm is grams but they are very low so I am thinking that it is probably incorrect. </t>
  </si>
  <si>
    <t>several articles that include a wide range of species include the cheetah so I have only included data from the first paper that had data on cheetahs</t>
  </si>
  <si>
    <t>the article measures FCMs rather than cortisol or corticosterone specifically (I inputed the baseline and peak in the cortisol column)</t>
  </si>
  <si>
    <t>https://onlinelibrary.wiley.com/doi/full/10.1002/zoo.20409</t>
  </si>
  <si>
    <t>cannot find any information from anage for this animal. Also I am not sure if the elevated levels are correct</t>
  </si>
  <si>
    <t>In the basal and elevated cortisol levels, I put an asterick next to FCM values</t>
  </si>
  <si>
    <t>RIA, EIA</t>
  </si>
  <si>
    <t>The EIA used in this paper was a cortisol EIA while the RIA was a corticosterone RIA. I am unsure as whether to include the results from each method separately in the cortisol and corticosterone column or to calculate the average.</t>
  </si>
  <si>
    <t>Tachyglossus aculeatus</t>
  </si>
  <si>
    <t>ACTH and transportation</t>
  </si>
  <si>
    <t xml:space="preserve">I took the average of the baseline and peak values obtained from the table for the two corticosterone EIAs </t>
  </si>
  <si>
    <t>https://www.sciencedirect.com/science/article/pii/S0016648022001174</t>
  </si>
  <si>
    <t>Urocitellus richardsonii</t>
  </si>
  <si>
    <t>non-breeding adults and yearlings</t>
  </si>
  <si>
    <t>the article measures FGMs rather than cortisol or corticosterone specifically (I inputed the baseline and peak in the cortisol column)</t>
  </si>
  <si>
    <t>For baseline and elevated cortisol I took the average of the values provided for males and females on the graphs </t>
  </si>
  <si>
    <t>Tursiops truncatus</t>
  </si>
  <si>
    <t>dolphins were subjected to an out of water stress test</t>
  </si>
  <si>
    <t>Although the paper mentions that cortisol is the main glucocorticoid in dolphins, the elevated and baseline values are given in GCm which I inputed into the cortisol column for now. Also, no clear baseline is given so I used the average from the day before the stress test</t>
  </si>
  <si>
    <t>https://www.sciencedirect.com/science/article/pii/S0016648017308535</t>
  </si>
  <si>
    <t>Eumetopias jubatus</t>
  </si>
  <si>
    <t>3 subadults, 1 adult</t>
  </si>
  <si>
    <t>For baseline and peak values, I took the average of the basal and peak points of both lines on the graph and then took the average of the four graphs. For the baseline levels, I used the values from 24 hours before the ACTH injection</t>
  </si>
  <si>
    <t>https://www.sciencedirect.com/science/article/pii/S0031938403003329</t>
  </si>
  <si>
    <t>Eubalaena glacialis</t>
  </si>
  <si>
    <t>entangled, stranded </t>
  </si>
  <si>
    <t>juveniles and adults</t>
  </si>
  <si>
    <t>This paper repots FGC metabolite concentrations rather than dividing it into cortisol and corticosterone. I included the baseline and elevated levels in the column for cortisol for now since cortisol predominated but this may affect our data because the amount of corticosterone may be significant. For the elevated FGC value I took the average of the whales stranded and entangled but omitted those killed by vessels because the values were lower than baseline and likely affected by the whales' deaths.</t>
  </si>
  <si>
    <t>https://www.int-res.com/abstracts/esr/v34/p417-429/</t>
  </si>
  <si>
    <t>Enhydra lutris kenyoni</t>
  </si>
  <si>
    <t>Myrmecobius fasciatus*</t>
  </si>
  <si>
    <t>https://www.sciencedirect.com/science/article/pii/S0016648012003899</t>
  </si>
  <si>
    <t>Macrotis lagotis*</t>
  </si>
  <si>
    <t>For baseline cortisol levels I took the average cortisol concentrations the day before the injection using plot digitizer</t>
  </si>
  <si>
    <t>https://link.springer.com/article/10.1007/s10344-014-0842-z?utm_source=getftr&amp;utm_medium=getftr&amp;utm_campaign=getftr_pilot</t>
  </si>
  <si>
    <t>Phascolarctos cinereus*</t>
  </si>
  <si>
    <t>7 yrs</t>
  </si>
  <si>
    <t xml:space="preserve">I am not exactly sure what method was used to determine the basal and elevated cortisol levels because they paper records both fecal and plasma cortisol but states that plasma cortisol was subjected to a RIA but only mentions an that an assay was used for fecal cortisol. </t>
  </si>
  <si>
    <t>https://joe.bioscientifica.com/view/journals/joe/219/1/1.xml</t>
  </si>
  <si>
    <t>Macropus eugenii*</t>
  </si>
  <si>
    <t>movement and isolation</t>
  </si>
  <si>
    <t>3 years old</t>
  </si>
  <si>
    <t>I am unsure as to how to get the elevated levels as well as how to convert nmol/kg to ng/g</t>
  </si>
  <si>
    <t>https://www.sciencedirect.com/science/article/pii/S1095643304003071?pes=vor</t>
  </si>
  <si>
    <t>Canis familiaris</t>
  </si>
  <si>
    <t>7.5 (nmol/kg)</t>
  </si>
  <si>
    <t>19 (nmol/kg)</t>
  </si>
  <si>
    <t>1-5 yrs</t>
  </si>
  <si>
    <t>I am not really sure how to convert the cortisol levels to ng/g</t>
  </si>
  <si>
    <t>https://link.springer.com/article/10.1023/A:1010626608498</t>
  </si>
  <si>
    <t xml:space="preserve">Tamais striatus </t>
  </si>
  <si>
    <t>EIA, HPLC</t>
  </si>
  <si>
    <t>For the baseline and elevated cortisol levels I included the values from the cortisol EIA rather than the metabolite EIA. I also included the median value of the baseline rather than the average of the range which was significantly higher (1537.5 ng/g). For the elevated cortisol value, I took the aerage of the peaks in the graph and got 8.665. The graph is measured in log ng/g so I did 10^8.665 but that value seems too large so I didn't input it because I must have done something wrong.</t>
  </si>
  <si>
    <t>https://www.journals.uchicago.edu/doi/full/10.1086/664592</t>
  </si>
  <si>
    <t>Questionable Data</t>
  </si>
  <si>
    <t>Myotis vivesi</t>
  </si>
  <si>
    <t>https://journals.biologists.com/jeb/article/223/24/jeb234914/226053/Synergetic-effects-of-immune-challenge-and-stress</t>
  </si>
  <si>
    <t>Heterocephalus glaber</t>
  </si>
  <si>
    <t>https://www.mdpi.com/2076-2615/13/8/1424</t>
  </si>
  <si>
    <t>Fukomys damarensis</t>
  </si>
  <si>
    <t>https://www.sciencedirect.com/science/article/pii/S0016648018300595</t>
  </si>
  <si>
    <t>Homo sapiens</t>
  </si>
  <si>
    <t>Panthera tigris altaica</t>
  </si>
  <si>
    <t>*</t>
  </si>
  <si>
    <t>Cortisol kits (Immunotekh, Russia)</t>
  </si>
  <si>
    <t>https://link.springer.com/article/10.1134/S1062359011030095</t>
  </si>
  <si>
    <t>Chinchilla lanigera</t>
  </si>
  <si>
    <t>9, 14</t>
  </si>
  <si>
    <t>Sapajus nigritus</t>
  </si>
  <si>
    <t>GA</t>
  </si>
  <si>
    <t>Ursus maritimus</t>
  </si>
  <si>
    <t>marine mammal</t>
  </si>
  <si>
    <t>https://www.mdpi.com/2076-2615/12/6/672</t>
  </si>
  <si>
    <t>measured in FCMs</t>
  </si>
  <si>
    <t>Fecal CORT (adjusted to dry mass)</t>
  </si>
  <si>
    <t>143 kcal/d</t>
  </si>
  <si>
    <t>https://onlinelibrary.wiley.com/doi/abs/10.1002/(SICI)1096-8644(199702)102:2%3C265::AID-AJPA8%3E3.0.CO;2-X</t>
  </si>
  <si>
    <t>Dhindsa, D.S., A.S. Hoverland, and J. Metcalfe, Resting hemodynamics and oxygen transport in unanesthetized adult cats. Respiration Physiology, 1979. 38(2): p. 105-114.</t>
  </si>
  <si>
    <t>Baker, M. and M. Nijland, Selective brain cooling in goats: effects of exercise and dehydration. The Journal of Physiology, 1993. 471(1): p. 679-692.</t>
  </si>
  <si>
    <t>Yazdi, P., A. Kilian, and B. Culik, Energy expenditure of swimming bottlenose dolphins (Tursiops truncatus). Marine Biology, 1999. 134(4): p. 601-607.</t>
  </si>
  <si>
    <t>Plasma (Hasse et. Al)</t>
  </si>
  <si>
    <t>Basasl Cortisol (ng/ml)</t>
  </si>
  <si>
    <t>Elevated Cortisol (ng/ml)</t>
  </si>
  <si>
    <t>Fecal samples for this species were obtained through a method different from that used on the other species in the paper</t>
  </si>
  <si>
    <t>Wasser et al. paper</t>
  </si>
  <si>
    <t>Elevated CORT + CCST</t>
  </si>
  <si>
    <t>{Christofoletti, 2010 #5}</t>
  </si>
  <si>
    <t>{Young, 2004 #1}</t>
  </si>
  <si>
    <t>{Nováková, 2008 #2}</t>
  </si>
  <si>
    <t>{Yu, 2011 #3}</t>
  </si>
  <si>
    <t>{Martínez-Mota, 2008 #4}</t>
  </si>
  <si>
    <t>{Bertulat, 2013 #6}</t>
  </si>
  <si>
    <t>{Sid-Ahmed, 2013 #7}</t>
  </si>
  <si>
    <t>{Kleinsasser, 2010 #9}</t>
  </si>
  <si>
    <t>{Dehnhard, 2001 #10}</t>
  </si>
  <si>
    <t>{Nemeth, 2016 #11}</t>
  </si>
  <si>
    <t>{Wheeler, 2013 #12}</t>
  </si>
  <si>
    <t>{Turner, 2002 #13}</t>
  </si>
  <si>
    <t>{Rodrigues da Paz, 2014 #14}</t>
  </si>
  <si>
    <t>{Millspaugh, 2001 #15}</t>
  </si>
  <si>
    <t>{Wasser, 2000 #16}</t>
  </si>
  <si>
    <t>{Flacke, 2023 #17}</t>
  </si>
  <si>
    <t>{Wolf, 2021 #18}</t>
  </si>
  <si>
    <t>{Benhaiem, 2012 #19}</t>
  </si>
  <si>
    <t>{de Andrés, 2021 #20}</t>
  </si>
  <si>
    <t>{Nokkaew, 2022 #21}</t>
  </si>
  <si>
    <t>{Nuñez, 2014 #22}</t>
  </si>
  <si>
    <t>{Franceschini, 2008 #23}</t>
  </si>
  <si>
    <t>{Rolland, 2017 #24}</t>
  </si>
  <si>
    <t>{Hunt, 2004 #25}</t>
  </si>
  <si>
    <t>{Navarro-Castilla, 2021 #26}</t>
  </si>
  <si>
    <t>{Bashaw, 2016 #27}</t>
  </si>
  <si>
    <t>{Shutt, 2012 #28}</t>
  </si>
  <si>
    <t>{Pirovino, 2011 #29}</t>
  </si>
  <si>
    <t>{Sheriff, 2009 #30}</t>
  </si>
  <si>
    <t>{Rehnus, 2009 #31}</t>
  </si>
  <si>
    <t>{Lacomme, 2023 #32}</t>
  </si>
  <si>
    <t>{Monfort, 1998 #33}</t>
  </si>
  <si>
    <t>{Cinque, 2017 #34}</t>
  </si>
  <si>
    <t>{Smith, 2012 #35}</t>
  </si>
  <si>
    <t>{Chelini, 2010 #36}</t>
  </si>
  <si>
    <t>{Hämäläinen, 2014 #37}</t>
  </si>
  <si>
    <t>{Laver, 2012 #38}</t>
  </si>
  <si>
    <t>{Soto‐Gamboa, 2009 #39}</t>
  </si>
  <si>
    <t>{Millspaugh, 2002 #40}</t>
  </si>
  <si>
    <t>{Watson, 2005 #41}</t>
  </si>
  <si>
    <t>{Di Francesco, 2021 #42}</t>
  </si>
  <si>
    <t>{Whitten, 1998 #43}</t>
  </si>
  <si>
    <t>{Serres-Corral, 2021 #44}</t>
  </si>
  <si>
    <t>{Morato, 2004 #45}</t>
  </si>
  <si>
    <t>{Narayan, 2013 #46}</t>
  </si>
  <si>
    <t>{Weingrill, 2004 #47}</t>
  </si>
  <si>
    <t>{Coradello, 2012 #48}</t>
  </si>
  <si>
    <t>{Eleftheriou, 2020 #49}</t>
  </si>
  <si>
    <t>{Fazio, 2020 #50}</t>
  </si>
  <si>
    <t>{Fichtel, 2007 #51}</t>
  </si>
  <si>
    <t>{Ashley, 2011 #53}</t>
  </si>
  <si>
    <t>{Capiro, 2014 #54}</t>
  </si>
  <si>
    <t>{Mendonça-Furtado, 2017 #55}</t>
  </si>
  <si>
    <t>{Bosson, 2009 #56}</t>
  </si>
  <si>
    <t>{Spaan, 2017 #58}</t>
  </si>
  <si>
    <t>{Eguizábal, 2013 #59}</t>
  </si>
  <si>
    <t>{Howell-Stephens, 2012 #60}</t>
  </si>
  <si>
    <t>{Champagne, 2018 #61}</t>
  </si>
  <si>
    <t>{Sheriff, 2012 #62}</t>
  </si>
  <si>
    <t>{Hunt, 2003 #63}</t>
  </si>
  <si>
    <t>{Leishman, 2022 #64}</t>
  </si>
  <si>
    <t>{Larm, 2021 #65}</t>
  </si>
  <si>
    <t>{Hovland, 2017 #66}</t>
  </si>
  <si>
    <t>Yes/NWP</t>
  </si>
  <si>
    <t>NWP= new world primate</t>
  </si>
  <si>
    <t>AnAge References</t>
  </si>
  <si>
    <t>Glucocorticoid References</t>
  </si>
  <si>
    <t>Metabolic Rate References (for species where metabolic rate was not found on anage)</t>
  </si>
  <si>
    <t>*I deleted one of the Bos taurus data points because I could not find the reference from where I had originaly obtained the data</t>
  </si>
  <si>
    <t>{Yang, 2020 #69}</t>
  </si>
  <si>
    <t>https://thejaps.org.pk/docs/V-30-06/11.pdf</t>
  </si>
  <si>
    <t xml:space="preserve">{Tacutu, 2018 #68} </t>
  </si>
  <si>
    <t>To obtain the baseline and peak values, I used plotdigitizer. Assume fecal concentrations are recorded in terms of wet mass</t>
  </si>
  <si>
    <t>I took the average of the baseline and peak concentrations for both the high yield and low yield cows. Since this study was on dairy cows, there were no males included. Article states "Concentrations are stated in nanograms of 11,17-DOA per gram of fresh feces" so the fecal glucocorticoids are assumed to be wet</t>
  </si>
  <si>
    <t>Article makes no mention of drying the fecal sample so the fecal glucocoriticoid concentrations are assumed to be in terms of wet mass</t>
  </si>
  <si>
    <t>The elk were monitored over the year and although the paper noted that they were at peak stress in the summer, I took the average of the yearly concentrations because they were not exposed to any specific stressor.Article makes no mention of drying the fecal sample so the fecal glucocoriticoid concentrations are assumed to be in terms of wet mass</t>
  </si>
  <si>
    <t>to convert wet mass to dry mass, the concentrations are multiplied by 0.4</t>
  </si>
  <si>
    <t>{Baker, 1993 #70}</t>
  </si>
  <si>
    <t>{Leonard, 1997 #71}</t>
  </si>
  <si>
    <t>{Dhindsa, 1979 #72}</t>
  </si>
  <si>
    <t>{Yazdi, 1999 #73}</t>
  </si>
  <si>
    <t>Validation of a Field Technique and Characterization of Fecal Glucocorticoid Metabolite Analysis in Wild Chimpanzees (Pan troglodytes)</t>
  </si>
  <si>
    <t>Gerbillus nanus</t>
  </si>
  <si>
    <t>Gerbillus andersoni allenbyi</t>
  </si>
  <si>
    <t>https://www.researchgate.net/profile/Justin-St-Juliana/publication/331724590_Physiological_validation_of_a_non-invasive_method_to_evaluate_adrenocortical_activity_and_the_time_course_for_the_excretion_of_stress_hormones_in_the_feces_of_three_species_of_desert_gerbils/links/5f733bbda6fdcc008645517a/Physiological-validation-of-a-non-invasive-method-to-evaluate-adrenocortical-activity-and-the-time-course-for-the-excretion-of-stress-hormones-in-the-feces-of-three-species-of-desert-gerbils.pdf</t>
  </si>
  <si>
    <t>Physical and behavioral indicators associated with hormonal changes during musth in zoo-housed and free-ranging Asian elephants (Elephas maximus)</t>
  </si>
  <si>
    <t>https://www.sciencedirect.com/science/article/pii/S2773093X22000113?ref=pdf_download&amp;fr=RR-2&amp;rr=8f636f01098c6db6</t>
  </si>
  <si>
    <t>x</t>
  </si>
  <si>
    <t>adults</t>
  </si>
  <si>
    <t>Body Mass (g)-- from paper</t>
  </si>
  <si>
    <t>Body Mass (g)--from paper again</t>
  </si>
  <si>
    <t> Adult Body Mass (g)--from AnAge</t>
  </si>
  <si>
    <t xml:space="preserve">baseline values are from the average of all the animals while peak values are only those from the ACTH challenge </t>
  </si>
  <si>
    <t>Although the paper mentions that cortisol is the main glucocorticoid in dolphins, the elevated and baseline values are given in GCM which I inputed into the cortisol column for now. Also, no clear baseline is given so I used the average from the day before the stress test. I am not 100% certain that I identified the correct RIA</t>
  </si>
  <si>
    <t>the article mentions that the baseline cortisol levels differed significantly for each of the four chimpanzees studied (base and elev are the average of the four).  The metabolic rate and body mass were obtained from the Hasse et al. paper. I am not sure whether the EIA is correct. This is what the paper says: "\We quantified FGM via cortisol enzyme immunoassay (EIA) with a method previously described [Wasser et al., 2000; Young et al., 2004]. C. Munro (University of California-Davis, CA) provided horseradish peroxidase (HRP) ligands and polyclonal antiserum (R4866)"</t>
  </si>
  <si>
    <t>Corticosterone EIA Kit</t>
  </si>
  <si>
    <t>Gerbillus piridium</t>
  </si>
  <si>
    <t>Cortisol ELISA Kit</t>
  </si>
  <si>
    <t>Neogen®Corporation, Ayr, U.K.)</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</si>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</sst>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i/>
      <sz val="12"/>
      <color theme="1"/>
      <name val="Calibri"/>
      <family val="2"/>
      <scheme val="minor"/>
    </font>
    <font>
      <u/>
      <sz val="12"/>
      <color rgb="FF0066CC"/>
      <name val="Calibri"/>
      <family val="2"/>
      <scheme val="minor"/>
    </font>
    <font>
      <u/>
      <sz val="12"/>
      <color theme="10"/>
      <name val="Calibri"/>
      <family val="2"/>
      <scheme val="minor"/>
    </font>
    <font>
      <i/>
      <sz val="12"/>
      <color rgb="FF000000"/>
      <name val="Calibri"/>
      <family val="2"/>
      <scheme val="minor"/>
    </font>
    <font>
      <sz val="12"/>
      <color rgb="FF000000"/>
      <name val="Calibri"/>
      <family val="2"/>
      <scheme val="minor"/>
    </font>
    <font>
      <i/>
      <sz val="12"/>
      <color theme="1"/>
      <name val="Calibri (Body)"/>
    </font>
    <font>
      <b/>
      <i/>
      <sz val="12"/>
      <color theme="1"/>
      <name val="Calibri"/>
      <family val="2"/>
      <scheme val="minor"/>
    </font>
    <font>
      <sz val="8"/>
      <name val="Calibri"/>
      <family val="2"/>
      <scheme val="minor"/>
    </font>
    <font>
      <sz val="11"/>
      <color rgb="FF1A1918"/>
      <name val="Helvetica Neue"/>
      <family val="2"/>
    </font>
    <font>
      <sz val="12"/>
      <color rgb="FFFF0000"/>
      <name val="Calibri"/>
      <family val="2"/>
      <scheme val="minor"/>
    </font>
    <font>
      <i/>
      <sz val="12"/>
      <color rgb="FFFF0000"/>
      <name val="Calibri"/>
      <family val="2"/>
      <scheme val="minor"/>
    </font>
  </fonts>
  <fills count="18">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2EFDA"/>
        <bgColor rgb="FF000000"/>
      </patternFill>
    </fill>
    <fill>
      <patternFill patternType="solid">
        <fgColor rgb="FFFFF2CC"/>
        <bgColor rgb="FF000000"/>
      </patternFill>
    </fill>
    <fill>
      <patternFill patternType="solid">
        <fgColor rgb="FFDDEBF7"/>
        <bgColor rgb="FF000000"/>
      </patternFill>
    </fill>
    <fill>
      <patternFill patternType="solid">
        <fgColor rgb="FFFFFF0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theme="5" tint="0.79998168889431442"/>
        <bgColor indexed="64"/>
      </patternFill>
    </fill>
    <fill>
      <patternFill patternType="solid">
        <fgColor rgb="FFBABCFF"/>
        <bgColor rgb="FF000000"/>
      </patternFill>
    </fill>
    <fill>
      <patternFill patternType="solid">
        <fgColor rgb="FFBABCFF"/>
        <bgColor indexed="64"/>
      </patternFill>
    </fill>
    <fill>
      <patternFill patternType="solid">
        <fgColor rgb="FFE49989"/>
        <bgColor indexed="64"/>
      </patternFill>
    </fill>
    <fill>
      <patternFill patternType="solid">
        <fgColor rgb="FFFF8D7E"/>
        <bgColor indexed="64"/>
      </patternFill>
    </fill>
  </fills>
  <borders count="11">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theme="9"/>
      </right>
      <top/>
      <bottom/>
      <diagonal/>
    </border>
    <border>
      <left/>
      <right style="thin">
        <color theme="9"/>
      </right>
      <top/>
      <bottom style="thin">
        <color indexed="64"/>
      </bottom>
      <diagonal/>
    </border>
    <border>
      <left/>
      <right style="thin">
        <color rgb="FF70AD47"/>
      </right>
      <top/>
      <bottom style="thin">
        <color indexed="64"/>
      </bottom>
      <diagonal/>
    </border>
    <border>
      <left/>
      <right style="thin">
        <color rgb="FF70AD47"/>
      </right>
      <top/>
      <bottom/>
      <diagonal/>
    </border>
  </borders>
  <cellStyleXfs count="2">
    <xf numFmtId="0" fontId="0" fillId="0" borderId="0"/>
    <xf numFmtId="0" fontId="3" fillId="0" borderId="0" applyNumberFormat="0" applyFill="0" applyBorder="0" applyAlignment="0" applyProtection="0"/>
  </cellStyleXfs>
  <cellXfs count="106">
    <xf numFmtId="0" fontId="0" fillId="0" borderId="0" xfId="0"/>
    <xf numFmtId="0" fontId="0" fillId="0" borderId="1" xfId="0" applyBorder="1"/>
    <xf numFmtId="0" fontId="0" fillId="0" borderId="3" xfId="0" applyBorder="1"/>
    <xf numFmtId="0" fontId="1" fillId="0" borderId="3" xfId="0" applyFont="1" applyBorder="1"/>
    <xf numFmtId="0" fontId="0" fillId="0" borderId="2" xfId="0" applyBorder="1"/>
    <xf numFmtId="3" fontId="0" fillId="0" borderId="0" xfId="0" applyNumberFormat="1"/>
    <xf numFmtId="4" fontId="0" fillId="0" borderId="0" xfId="0" applyNumberFormat="1"/>
    <xf numFmtId="0" fontId="0" fillId="0" borderId="1" xfId="0" applyBorder="1" applyAlignment="1">
      <alignment horizontal="center"/>
    </xf>
    <xf numFmtId="0" fontId="2" fillId="0" borderId="0" xfId="0" applyFont="1"/>
    <xf numFmtId="0" fontId="0" fillId="2" borderId="2" xfId="0" applyFill="1" applyBorder="1" applyAlignment="1">
      <alignment horizontal="center"/>
    </xf>
    <xf numFmtId="0" fontId="3" fillId="0" borderId="0" xfId="1"/>
    <xf numFmtId="0" fontId="0" fillId="2" borderId="0" xfId="0" applyFill="1" applyAlignment="1">
      <alignment horizontal="center"/>
    </xf>
    <xf numFmtId="0" fontId="4" fillId="0" borderId="3" xfId="0" applyFont="1" applyBorder="1"/>
    <xf numFmtId="0" fontId="5" fillId="0" borderId="0" xfId="0" applyFont="1"/>
    <xf numFmtId="0" fontId="5" fillId="5" borderId="2" xfId="0" applyFont="1" applyFill="1" applyBorder="1" applyAlignment="1">
      <alignment horizontal="center"/>
    </xf>
    <xf numFmtId="0" fontId="5" fillId="0" borderId="1" xfId="0" applyFont="1" applyBorder="1"/>
    <xf numFmtId="0" fontId="5" fillId="0" borderId="2" xfId="0" applyFont="1" applyBorder="1"/>
    <xf numFmtId="0" fontId="5" fillId="0" borderId="1" xfId="0" applyFont="1" applyBorder="1" applyAlignment="1">
      <alignment horizontal="center"/>
    </xf>
    <xf numFmtId="0" fontId="5" fillId="0" borderId="3" xfId="0" applyFont="1" applyBorder="1"/>
    <xf numFmtId="3" fontId="5" fillId="0" borderId="0" xfId="0" applyNumberFormat="1" applyFont="1"/>
    <xf numFmtId="0" fontId="1" fillId="8" borderId="3" xfId="0" applyFont="1" applyFill="1" applyBorder="1"/>
    <xf numFmtId="0" fontId="0" fillId="2" borderId="3" xfId="0" applyFill="1" applyBorder="1" applyAlignment="1">
      <alignment horizontal="center"/>
    </xf>
    <xf numFmtId="0" fontId="1" fillId="0" borderId="0" xfId="0" applyFont="1"/>
    <xf numFmtId="0" fontId="0" fillId="0" borderId="5" xfId="0" applyBorder="1"/>
    <xf numFmtId="0" fontId="0" fillId="0" borderId="4" xfId="0" applyBorder="1"/>
    <xf numFmtId="0" fontId="0" fillId="9" borderId="0" xfId="0" applyFill="1"/>
    <xf numFmtId="0" fontId="0" fillId="2" borderId="0" xfId="0" applyFill="1"/>
    <xf numFmtId="0" fontId="0" fillId="0" borderId="0" xfId="0" applyAlignment="1">
      <alignment wrapText="1"/>
    </xf>
    <xf numFmtId="0" fontId="0" fillId="0" borderId="7" xfId="0" applyBorder="1"/>
    <xf numFmtId="0" fontId="6" fillId="0" borderId="3" xfId="0" applyFont="1" applyBorder="1"/>
    <xf numFmtId="0" fontId="7" fillId="0" borderId="0" xfId="0" applyFont="1"/>
    <xf numFmtId="0" fontId="0" fillId="4" borderId="0" xfId="0" applyFill="1"/>
    <xf numFmtId="0" fontId="5" fillId="0" borderId="0" xfId="0" applyFont="1" applyAlignment="1">
      <alignment vertical="center"/>
    </xf>
    <xf numFmtId="0" fontId="0" fillId="12" borderId="0" xfId="0" applyFill="1"/>
    <xf numFmtId="0" fontId="0" fillId="13" borderId="0" xfId="0" applyFill="1"/>
    <xf numFmtId="0" fontId="5" fillId="8" borderId="0" xfId="0" applyFont="1" applyFill="1"/>
    <xf numFmtId="0" fontId="9" fillId="0" borderId="0" xfId="0" applyFont="1"/>
    <xf numFmtId="0" fontId="0" fillId="4" borderId="4" xfId="0" applyFill="1" applyBorder="1" applyAlignment="1">
      <alignment horizontal="center"/>
    </xf>
    <xf numFmtId="0" fontId="0" fillId="4" borderId="0" xfId="0" applyFill="1" applyAlignment="1">
      <alignment horizontal="center"/>
    </xf>
    <xf numFmtId="0" fontId="0" fillId="4" borderId="3" xfId="0" applyFill="1" applyBorder="1" applyAlignment="1">
      <alignment horizontal="center"/>
    </xf>
    <xf numFmtId="0" fontId="0" fillId="3" borderId="4" xfId="0" applyFill="1" applyBorder="1" applyAlignment="1">
      <alignment horizontal="center"/>
    </xf>
    <xf numFmtId="0" fontId="0" fillId="3" borderId="0" xfId="0" applyFill="1" applyAlignment="1">
      <alignment horizontal="center"/>
    </xf>
    <xf numFmtId="0" fontId="0" fillId="3" borderId="3" xfId="0" applyFill="1" applyBorder="1" applyAlignment="1">
      <alignment horizontal="center"/>
    </xf>
    <xf numFmtId="0" fontId="0" fillId="2" borderId="4" xfId="0" applyFill="1" applyBorder="1" applyAlignment="1">
      <alignment horizontal="center"/>
    </xf>
    <xf numFmtId="0" fontId="0" fillId="10" borderId="4" xfId="0" applyFill="1" applyBorder="1" applyAlignment="1">
      <alignment horizontal="center"/>
    </xf>
    <xf numFmtId="0" fontId="0" fillId="10" borderId="6" xfId="0" applyFill="1" applyBorder="1" applyAlignment="1">
      <alignment horizontal="center"/>
    </xf>
    <xf numFmtId="0" fontId="0" fillId="11" borderId="0" xfId="0" applyFill="1" applyAlignment="1">
      <alignment horizontal="center"/>
    </xf>
    <xf numFmtId="0" fontId="0" fillId="11" borderId="1" xfId="0" applyFill="1" applyBorder="1" applyAlignment="1">
      <alignment horizontal="center"/>
    </xf>
    <xf numFmtId="0" fontId="0" fillId="0" borderId="8" xfId="0" applyBorder="1"/>
    <xf numFmtId="0" fontId="3" fillId="0" borderId="0" xfId="1" applyAlignment="1"/>
    <xf numFmtId="0" fontId="3" fillId="0" borderId="0" xfId="1" applyFill="1" applyAlignment="1"/>
    <xf numFmtId="0" fontId="5" fillId="0" borderId="9" xfId="0" applyFont="1" applyBorder="1"/>
    <xf numFmtId="0" fontId="5" fillId="0" borderId="10" xfId="0" applyFont="1" applyBorder="1"/>
    <xf numFmtId="0" fontId="5" fillId="14" borderId="4" xfId="0" applyFont="1" applyFill="1" applyBorder="1" applyAlignment="1">
      <alignment horizontal="center"/>
    </xf>
    <xf numFmtId="0" fontId="5" fillId="14" borderId="0" xfId="0" applyFont="1" applyFill="1" applyAlignment="1">
      <alignment horizontal="center"/>
    </xf>
    <xf numFmtId="0" fontId="5" fillId="14" borderId="3" xfId="0" applyFont="1" applyFill="1" applyBorder="1" applyAlignment="1">
      <alignment horizontal="center"/>
    </xf>
    <xf numFmtId="0" fontId="5" fillId="8" borderId="10" xfId="0" applyFont="1" applyFill="1" applyBorder="1"/>
    <xf numFmtId="0" fontId="5" fillId="8" borderId="3" xfId="0" applyFont="1" applyFill="1" applyBorder="1"/>
    <xf numFmtId="0" fontId="1" fillId="15" borderId="3" xfId="0" applyFont="1" applyFill="1" applyBorder="1"/>
    <xf numFmtId="0" fontId="5" fillId="0" borderId="7" xfId="0" applyFont="1" applyBorder="1"/>
    <xf numFmtId="0" fontId="5" fillId="0" borderId="4" xfId="0" applyFont="1" applyBorder="1"/>
    <xf numFmtId="0" fontId="5" fillId="0" borderId="5" xfId="0" applyFont="1" applyBorder="1"/>
    <xf numFmtId="0" fontId="1" fillId="17" borderId="3" xfId="0" applyFont="1" applyFill="1" applyBorder="1"/>
    <xf numFmtId="0" fontId="4" fillId="17" borderId="3" xfId="0" applyFont="1" applyFill="1" applyBorder="1"/>
    <xf numFmtId="0" fontId="0" fillId="0" borderId="0" xfId="1" applyFont="1" applyAlignment="1"/>
    <xf numFmtId="0" fontId="0" fillId="0" borderId="0" xfId="1" applyFont="1"/>
    <xf numFmtId="0" fontId="0" fillId="0" borderId="0" xfId="1" applyFont="1" applyFill="1" applyAlignment="1"/>
    <xf numFmtId="0" fontId="0" fillId="0" borderId="10" xfId="0" applyBorder="1"/>
    <xf numFmtId="3" fontId="0" fillId="0" borderId="4" xfId="0" applyNumberFormat="1" applyBorder="1"/>
    <xf numFmtId="2" fontId="0" fillId="0" borderId="0" xfId="0" applyNumberFormat="1"/>
    <xf numFmtId="2" fontId="0" fillId="0" borderId="3" xfId="0" applyNumberFormat="1" applyBorder="1"/>
    <xf numFmtId="2" fontId="10" fillId="0" borderId="0" xfId="0" applyNumberFormat="1" applyFont="1"/>
    <xf numFmtId="0" fontId="0" fillId="10" borderId="0" xfId="0" applyFill="1" applyAlignment="1">
      <alignment horizontal="center"/>
    </xf>
    <xf numFmtId="0" fontId="11" fillId="0" borderId="0" xfId="0" applyFont="1"/>
    <xf numFmtId="0" fontId="3" fillId="0" borderId="0" xfId="1" applyBorder="1"/>
    <xf numFmtId="0" fontId="0" fillId="0" borderId="0" xfId="1" applyFont="1" applyBorder="1" applyAlignment="1"/>
    <xf numFmtId="0" fontId="3" fillId="0" borderId="0" xfId="1" applyFill="1" applyBorder="1" applyAlignment="1"/>
    <xf numFmtId="0" fontId="0" fillId="0" borderId="0" xfId="1" applyFont="1" applyFill="1" applyBorder="1" applyAlignment="1"/>
    <xf numFmtId="0" fontId="1" fillId="8" borderId="0" xfId="0" applyFont="1" applyFill="1"/>
    <xf numFmtId="0" fontId="0" fillId="0" borderId="0" xfId="1" applyFont="1" applyBorder="1"/>
    <xf numFmtId="0" fontId="10" fillId="0" borderId="0" xfId="0" applyFont="1"/>
    <xf numFmtId="0" fontId="11" fillId="8" borderId="0" xfId="0" applyFont="1" applyFill="1"/>
    <xf numFmtId="3" fontId="10" fillId="0" borderId="0" xfId="0" applyNumberFormat="1" applyFont="1"/>
    <xf numFmtId="0" fontId="10" fillId="0" borderId="0" xfId="1" applyFont="1" applyBorder="1" applyAlignment="1"/>
    <xf numFmtId="0" fontId="3" fillId="0" borderId="0" xfId="1" applyBorder="1" applyAlignment="1"/>
    <xf numFmtId="0" fontId="11" fillId="15" borderId="0" xfId="0" applyFont="1" applyFill="1"/>
    <xf numFmtId="0" fontId="1" fillId="15" borderId="0" xfId="0" applyFont="1" applyFill="1"/>
    <xf numFmtId="0" fontId="3" fillId="0" borderId="0" xfId="1" applyFill="1" applyBorder="1"/>
    <xf numFmtId="0" fontId="0" fillId="2" borderId="4" xfId="0" applyFill="1" applyBorder="1" applyAlignment="1">
      <alignment horizontal="center"/>
    </xf>
    <xf numFmtId="0" fontId="0" fillId="2" borderId="0" xfId="0" applyFill="1" applyAlignment="1">
      <alignment horizontal="center"/>
    </xf>
    <xf numFmtId="0" fontId="0" fillId="2" borderId="3" xfId="0" applyFill="1" applyBorder="1" applyAlignment="1">
      <alignment horizontal="center"/>
    </xf>
    <xf numFmtId="0" fontId="0" fillId="16" borderId="4" xfId="0" applyFill="1" applyBorder="1" applyAlignment="1">
      <alignment horizontal="center"/>
    </xf>
    <xf numFmtId="0" fontId="0" fillId="16" borderId="3" xfId="0" applyFill="1" applyBorder="1" applyAlignment="1">
      <alignment horizontal="center"/>
    </xf>
    <xf numFmtId="0" fontId="5" fillId="14" borderId="4" xfId="0" applyFont="1" applyFill="1" applyBorder="1" applyAlignment="1">
      <alignment horizontal="center"/>
    </xf>
    <xf numFmtId="0" fontId="5" fillId="14" borderId="0" xfId="0" applyFont="1" applyFill="1" applyAlignment="1">
      <alignment horizontal="center"/>
    </xf>
    <xf numFmtId="0" fontId="5" fillId="14" borderId="3" xfId="0" applyFont="1" applyFill="1" applyBorder="1" applyAlignment="1">
      <alignment horizontal="center"/>
    </xf>
    <xf numFmtId="0" fontId="0" fillId="4" borderId="4" xfId="0" applyFill="1" applyBorder="1" applyAlignment="1">
      <alignment horizontal="center"/>
    </xf>
    <xf numFmtId="0" fontId="0" fillId="4" borderId="0" xfId="0" applyFill="1" applyAlignment="1">
      <alignment horizontal="center"/>
    </xf>
    <xf numFmtId="0" fontId="0" fillId="4" borderId="3" xfId="0" applyFill="1" applyBorder="1" applyAlignment="1">
      <alignment horizontal="center"/>
    </xf>
    <xf numFmtId="0" fontId="0" fillId="3" borderId="4" xfId="0" applyFill="1" applyBorder="1" applyAlignment="1">
      <alignment horizontal="center"/>
    </xf>
    <xf numFmtId="0" fontId="0" fillId="3" borderId="0" xfId="0" applyFill="1" applyAlignment="1">
      <alignment horizontal="center"/>
    </xf>
    <xf numFmtId="0" fontId="0" fillId="3" borderId="3" xfId="0" applyFill="1" applyBorder="1" applyAlignment="1">
      <alignment horizontal="center"/>
    </xf>
    <xf numFmtId="0" fontId="5" fillId="5" borderId="4" xfId="0" applyFont="1" applyFill="1" applyBorder="1" applyAlignment="1">
      <alignment horizontal="center"/>
    </xf>
    <xf numFmtId="0" fontId="5" fillId="5" borderId="0" xfId="0" applyFont="1" applyFill="1" applyAlignment="1">
      <alignment horizontal="center"/>
    </xf>
    <xf numFmtId="0" fontId="5" fillId="6" borderId="0" xfId="0" applyFont="1" applyFill="1" applyAlignment="1">
      <alignment horizontal="center"/>
    </xf>
    <xf numFmtId="0" fontId="5" fillId="7"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8D7E"/>
      <color rgb="FFE49989"/>
      <color rgb="FFBAB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Lifespan</a:t>
            </a:r>
            <a:r>
              <a:rPr lang="en-US" baseline="0"/>
              <a:t> vs. basal corticosterone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2671384643761184E-2"/>
          <c:y val="0.12252300856401102"/>
          <c:w val="0.87753018372703417"/>
          <c:h val="0.74222996800204932"/>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5.8687603356191331E-2"/>
                  <c:y val="0.2302651251568477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Sheet'!#REF!</c:f>
            </c:numRef>
          </c:xVal>
          <c:yVal>
            <c:numRef>
              <c:f>'Main Data Sheet'!$U$35:$U$114</c:f>
              <c:numCache>
                <c:formatCode>General</c:formatCode>
                <c:ptCount val="80"/>
                <c:pt idx="0">
                  <c:v>13.7</c:v>
                </c:pt>
                <c:pt idx="1">
                  <c:v>20</c:v>
                </c:pt>
                <c:pt idx="2">
                  <c:v>28.4</c:v>
                </c:pt>
                <c:pt idx="5">
                  <c:v>20.8</c:v>
                </c:pt>
                <c:pt idx="6">
                  <c:v>20.8</c:v>
                </c:pt>
                <c:pt idx="7">
                  <c:v>17.5</c:v>
                </c:pt>
                <c:pt idx="8">
                  <c:v>12</c:v>
                </c:pt>
                <c:pt idx="9">
                  <c:v>45</c:v>
                </c:pt>
                <c:pt idx="10">
                  <c:v>12.7</c:v>
                </c:pt>
                <c:pt idx="11">
                  <c:v>31.5</c:v>
                </c:pt>
                <c:pt idx="12">
                  <c:v>42.3</c:v>
                </c:pt>
                <c:pt idx="13">
                  <c:v>42.3</c:v>
                </c:pt>
                <c:pt idx="14">
                  <c:v>42.3</c:v>
                </c:pt>
                <c:pt idx="15">
                  <c:v>42.3</c:v>
                </c:pt>
                <c:pt idx="16">
                  <c:v>42.3</c:v>
                </c:pt>
                <c:pt idx="17">
                  <c:v>42.3</c:v>
                </c:pt>
                <c:pt idx="18">
                  <c:v>24.3</c:v>
                </c:pt>
                <c:pt idx="19">
                  <c:v>24.3</c:v>
                </c:pt>
                <c:pt idx="20">
                  <c:v>24.3</c:v>
                </c:pt>
                <c:pt idx="21">
                  <c:v>24.3</c:v>
                </c:pt>
                <c:pt idx="22">
                  <c:v>24.3</c:v>
                </c:pt>
                <c:pt idx="23">
                  <c:v>41.1</c:v>
                </c:pt>
                <c:pt idx="24">
                  <c:v>79.599999999999994</c:v>
                </c:pt>
                <c:pt idx="25">
                  <c:v>79.599999999999994</c:v>
                </c:pt>
                <c:pt idx="27">
                  <c:v>57</c:v>
                </c:pt>
                <c:pt idx="28">
                  <c:v>31</c:v>
                </c:pt>
                <c:pt idx="29">
                  <c:v>30</c:v>
                </c:pt>
                <c:pt idx="30">
                  <c:v>30</c:v>
                </c:pt>
                <c:pt idx="35">
                  <c:v>5.9</c:v>
                </c:pt>
                <c:pt idx="36">
                  <c:v>8.1999999999999993</c:v>
                </c:pt>
                <c:pt idx="37">
                  <c:v>39.5</c:v>
                </c:pt>
                <c:pt idx="38">
                  <c:v>39.5</c:v>
                </c:pt>
                <c:pt idx="42">
                  <c:v>65</c:v>
                </c:pt>
                <c:pt idx="43">
                  <c:v>17</c:v>
                </c:pt>
                <c:pt idx="44">
                  <c:v>21.2</c:v>
                </c:pt>
                <c:pt idx="45">
                  <c:v>14.8</c:v>
                </c:pt>
                <c:pt idx="46">
                  <c:v>33.299999999999997</c:v>
                </c:pt>
                <c:pt idx="47">
                  <c:v>33.299999999999997</c:v>
                </c:pt>
                <c:pt idx="48">
                  <c:v>3.9</c:v>
                </c:pt>
                <c:pt idx="49" formatCode="#,##0">
                  <c:v>20</c:v>
                </c:pt>
                <c:pt idx="50">
                  <c:v>17.399999999999999</c:v>
                </c:pt>
                <c:pt idx="51">
                  <c:v>17.399999999999999</c:v>
                </c:pt>
                <c:pt idx="52">
                  <c:v>9.4</c:v>
                </c:pt>
                <c:pt idx="53">
                  <c:v>9.4</c:v>
                </c:pt>
                <c:pt idx="54">
                  <c:v>19.8</c:v>
                </c:pt>
                <c:pt idx="55">
                  <c:v>19.8</c:v>
                </c:pt>
                <c:pt idx="56">
                  <c:v>14</c:v>
                </c:pt>
                <c:pt idx="57">
                  <c:v>23</c:v>
                </c:pt>
                <c:pt idx="58">
                  <c:v>27.4</c:v>
                </c:pt>
                <c:pt idx="59">
                  <c:v>27.4</c:v>
                </c:pt>
                <c:pt idx="60">
                  <c:v>28</c:v>
                </c:pt>
                <c:pt idx="61">
                  <c:v>28</c:v>
                </c:pt>
                <c:pt idx="62">
                  <c:v>26.3</c:v>
                </c:pt>
                <c:pt idx="63">
                  <c:v>26.3</c:v>
                </c:pt>
                <c:pt idx="64">
                  <c:v>31.5</c:v>
                </c:pt>
                <c:pt idx="65">
                  <c:v>8.3000000000000007</c:v>
                </c:pt>
                <c:pt idx="66">
                  <c:v>21.8</c:v>
                </c:pt>
                <c:pt idx="67">
                  <c:v>21.8</c:v>
                </c:pt>
                <c:pt idx="68">
                  <c:v>43.5</c:v>
                </c:pt>
                <c:pt idx="70">
                  <c:v>20.6</c:v>
                </c:pt>
                <c:pt idx="71">
                  <c:v>20.6</c:v>
                </c:pt>
                <c:pt idx="72">
                  <c:v>32.799999999999997</c:v>
                </c:pt>
                <c:pt idx="73">
                  <c:v>36.799999999999997</c:v>
                </c:pt>
                <c:pt idx="74">
                  <c:v>40</c:v>
                </c:pt>
                <c:pt idx="75">
                  <c:v>43.8</c:v>
                </c:pt>
                <c:pt idx="76">
                  <c:v>39.200000000000003</c:v>
                </c:pt>
                <c:pt idx="77">
                  <c:v>39.200000000000003</c:v>
                </c:pt>
                <c:pt idx="78">
                  <c:v>16.3</c:v>
                </c:pt>
                <c:pt idx="79">
                  <c:v>21.3</c:v>
                </c:pt>
              </c:numCache>
            </c:numRef>
          </c:yVal>
          <c:smooth val="0"/>
          <c:extLst>
            <c:ext xmlns:c16="http://schemas.microsoft.com/office/drawing/2014/chart" uri="{C3380CC4-5D6E-409C-BE32-E72D297353CC}">
              <c16:uniqueId val="{00000000-4FA4-2F4F-A1C9-90D5205DB67D}"/>
            </c:ext>
          </c:extLst>
        </c:ser>
        <c:dLbls>
          <c:showLegendKey val="0"/>
          <c:showVal val="0"/>
          <c:showCatName val="0"/>
          <c:showSerName val="0"/>
          <c:showPercent val="0"/>
          <c:showBubbleSize val="0"/>
        </c:dLbls>
        <c:axId val="635692320"/>
        <c:axId val="635539552"/>
      </c:scatterChart>
      <c:valAx>
        <c:axId val="635692320"/>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log basal</a:t>
                </a:r>
                <a:r>
                  <a:rPr lang="en-US" baseline="0"/>
                  <a:t> corticosterone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539552"/>
        <c:crosses val="autoZero"/>
        <c:crossBetween val="midCat"/>
      </c:valAx>
      <c:valAx>
        <c:axId val="635539552"/>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log lifespan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923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Body</a:t>
            </a:r>
            <a:r>
              <a:rPr lang="en-US" baseline="0"/>
              <a:t> Mass vs. Metabolic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5.280362706379116E-3"/>
                  <c:y val="-0.31555211676053041"/>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t>y = 0.0114x</a:t>
                    </a:r>
                    <a:r>
                      <a:rPr lang="en-US" sz="1400" baseline="30000"/>
                      <a:t>-0.189</a:t>
                    </a:r>
                    <a:br>
                      <a:rPr lang="en-US" sz="1400" baseline="0"/>
                    </a:br>
                    <a:r>
                      <a:rPr lang="en-US" sz="1400" baseline="0"/>
                      <a:t>R² = 0.7805</a:t>
                    </a:r>
                    <a:endParaRPr lang="en-US" sz="14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Sheet'!$V$2:$V$115</c:f>
              <c:numCache>
                <c:formatCode>#,##0</c:formatCode>
                <c:ptCount val="114"/>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8" formatCode="#,##0.00">
                  <c:v>38446.1</c:v>
                </c:pt>
                <c:pt idx="29" formatCode="#,##0.00">
                  <c:v>38446.1</c:v>
                </c:pt>
                <c:pt idx="30">
                  <c:v>45.2</c:v>
                </c:pt>
                <c:pt idx="31">
                  <c:v>45.2</c:v>
                </c:pt>
                <c:pt idx="32">
                  <c:v>117500</c:v>
                </c:pt>
                <c:pt idx="33">
                  <c:v>102500</c:v>
                </c:pt>
                <c:pt idx="34">
                  <c:v>750000</c:v>
                </c:pt>
                <c:pt idx="35">
                  <c:v>434000</c:v>
                </c:pt>
                <c:pt idx="36" formatCode="General">
                  <c:v>22983.200000000001</c:v>
                </c:pt>
                <c:pt idx="37" formatCode="General">
                  <c:v>22983.200000000001</c:v>
                </c:pt>
                <c:pt idx="38">
                  <c:v>61000</c:v>
                </c:pt>
                <c:pt idx="39">
                  <c:v>61000</c:v>
                </c:pt>
                <c:pt idx="40">
                  <c:v>21667</c:v>
                </c:pt>
                <c:pt idx="41" formatCode="General">
                  <c:v>728</c:v>
                </c:pt>
                <c:pt idx="42">
                  <c:v>2175000</c:v>
                </c:pt>
                <c:pt idx="43">
                  <c:v>6500</c:v>
                </c:pt>
                <c:pt idx="44">
                  <c:v>200000</c:v>
                </c:pt>
                <c:pt idx="45">
                  <c:v>215000</c:v>
                </c:pt>
                <c:pt idx="46">
                  <c:v>215000</c:v>
                </c:pt>
                <c:pt idx="47">
                  <c:v>215000</c:v>
                </c:pt>
                <c:pt idx="48">
                  <c:v>215000</c:v>
                </c:pt>
                <c:pt idx="49">
                  <c:v>215000</c:v>
                </c:pt>
                <c:pt idx="50">
                  <c:v>215000</c:v>
                </c:pt>
                <c:pt idx="51">
                  <c:v>164500</c:v>
                </c:pt>
                <c:pt idx="52">
                  <c:v>164500</c:v>
                </c:pt>
                <c:pt idx="53">
                  <c:v>164500</c:v>
                </c:pt>
                <c:pt idx="54">
                  <c:v>164500</c:v>
                </c:pt>
                <c:pt idx="55">
                  <c:v>164500</c:v>
                </c:pt>
                <c:pt idx="56">
                  <c:v>63000</c:v>
                </c:pt>
                <c:pt idx="57">
                  <c:v>3178000</c:v>
                </c:pt>
                <c:pt idx="58">
                  <c:v>3178000</c:v>
                </c:pt>
                <c:pt idx="60">
                  <c:v>444900</c:v>
                </c:pt>
                <c:pt idx="61">
                  <c:v>384000</c:v>
                </c:pt>
                <c:pt idx="62">
                  <c:v>3900</c:v>
                </c:pt>
                <c:pt idx="63">
                  <c:v>3900</c:v>
                </c:pt>
                <c:pt idx="64">
                  <c:v>20.87</c:v>
                </c:pt>
                <c:pt idx="68">
                  <c:v>30</c:v>
                </c:pt>
                <c:pt idx="69">
                  <c:v>37</c:v>
                </c:pt>
                <c:pt idx="70">
                  <c:v>800000</c:v>
                </c:pt>
                <c:pt idx="71">
                  <c:v>800000</c:v>
                </c:pt>
                <c:pt idx="72">
                  <c:v>1600</c:v>
                </c:pt>
                <c:pt idx="75" formatCode="General">
                  <c:v>3940034</c:v>
                </c:pt>
                <c:pt idx="76">
                  <c:v>26500</c:v>
                </c:pt>
                <c:pt idx="77">
                  <c:v>3500</c:v>
                </c:pt>
                <c:pt idx="78">
                  <c:v>17000</c:v>
                </c:pt>
                <c:pt idx="79">
                  <c:v>100000</c:v>
                </c:pt>
                <c:pt idx="80">
                  <c:v>100000</c:v>
                </c:pt>
                <c:pt idx="81" formatCode="General">
                  <c:v>105</c:v>
                </c:pt>
                <c:pt idx="82">
                  <c:v>12000</c:v>
                </c:pt>
                <c:pt idx="83">
                  <c:v>1332</c:v>
                </c:pt>
                <c:pt idx="84">
                  <c:v>1332</c:v>
                </c:pt>
                <c:pt idx="85">
                  <c:v>1021</c:v>
                </c:pt>
                <c:pt idx="86">
                  <c:v>1021</c:v>
                </c:pt>
                <c:pt idx="87">
                  <c:v>19500</c:v>
                </c:pt>
                <c:pt idx="88">
                  <c:v>19500</c:v>
                </c:pt>
                <c:pt idx="89" formatCode="General">
                  <c:v>235</c:v>
                </c:pt>
                <c:pt idx="90">
                  <c:v>87000</c:v>
                </c:pt>
                <c:pt idx="91">
                  <c:v>315000</c:v>
                </c:pt>
                <c:pt idx="92">
                  <c:v>315000</c:v>
                </c:pt>
                <c:pt idx="93">
                  <c:v>175000</c:v>
                </c:pt>
                <c:pt idx="94">
                  <c:v>81150</c:v>
                </c:pt>
                <c:pt idx="95">
                  <c:v>119700</c:v>
                </c:pt>
                <c:pt idx="96">
                  <c:v>119700</c:v>
                </c:pt>
                <c:pt idx="97">
                  <c:v>20200</c:v>
                </c:pt>
                <c:pt idx="98" formatCode="General">
                  <c:v>21</c:v>
                </c:pt>
                <c:pt idx="99">
                  <c:v>101250</c:v>
                </c:pt>
                <c:pt idx="100">
                  <c:v>101250</c:v>
                </c:pt>
                <c:pt idx="101">
                  <c:v>1602330</c:v>
                </c:pt>
                <c:pt idx="102" formatCode="General">
                  <c:v>412.5</c:v>
                </c:pt>
                <c:pt idx="103">
                  <c:v>776</c:v>
                </c:pt>
                <c:pt idx="104">
                  <c:v>776</c:v>
                </c:pt>
                <c:pt idx="105">
                  <c:v>700000</c:v>
                </c:pt>
                <c:pt idx="106">
                  <c:v>1500</c:v>
                </c:pt>
                <c:pt idx="107">
                  <c:v>277500</c:v>
                </c:pt>
                <c:pt idx="108">
                  <c:v>475000</c:v>
                </c:pt>
                <c:pt idx="109">
                  <c:v>103750</c:v>
                </c:pt>
                <c:pt idx="110">
                  <c:v>103750</c:v>
                </c:pt>
                <c:pt idx="111">
                  <c:v>5200</c:v>
                </c:pt>
                <c:pt idx="112">
                  <c:v>4132</c:v>
                </c:pt>
              </c:numCache>
            </c:numRef>
          </c:xVal>
          <c:yVal>
            <c:numRef>
              <c:f>'Main Data Sheet'!$W$2:$W$114</c:f>
              <c:numCache>
                <c:formatCode>General</c:formatCode>
                <c:ptCount val="113"/>
                <c:pt idx="2">
                  <c:v>2.15E-3</c:v>
                </c:pt>
                <c:pt idx="16">
                  <c:v>2.9889999999999999E-3</c:v>
                </c:pt>
                <c:pt idx="17">
                  <c:v>2.5999999999999999E-3</c:v>
                </c:pt>
                <c:pt idx="18">
                  <c:v>1.665E-3</c:v>
                </c:pt>
                <c:pt idx="19">
                  <c:v>1.116E-3</c:v>
                </c:pt>
                <c:pt idx="20">
                  <c:v>1.116E-3</c:v>
                </c:pt>
                <c:pt idx="21">
                  <c:v>1.116E-3</c:v>
                </c:pt>
                <c:pt idx="28">
                  <c:v>1.6069999999999999E-3</c:v>
                </c:pt>
                <c:pt idx="29">
                  <c:v>1.6069999999999999E-3</c:v>
                </c:pt>
                <c:pt idx="30">
                  <c:v>6.143E-3</c:v>
                </c:pt>
                <c:pt idx="31">
                  <c:v>6.143E-3</c:v>
                </c:pt>
                <c:pt idx="34">
                  <c:v>8.8400000000000002E-4</c:v>
                </c:pt>
                <c:pt idx="35">
                  <c:v>5.5199999999999997E-4</c:v>
                </c:pt>
                <c:pt idx="38">
                  <c:v>1.4E-3</c:v>
                </c:pt>
                <c:pt idx="39">
                  <c:v>1.4E-3</c:v>
                </c:pt>
                <c:pt idx="40">
                  <c:v>2.1559999999999999E-3</c:v>
                </c:pt>
                <c:pt idx="41">
                  <c:v>3.333E-3</c:v>
                </c:pt>
                <c:pt idx="43">
                  <c:v>1.562E-3</c:v>
                </c:pt>
                <c:pt idx="44">
                  <c:v>1.678E-3</c:v>
                </c:pt>
                <c:pt idx="51">
                  <c:v>1.1709999999999999E-3</c:v>
                </c:pt>
                <c:pt idx="52">
                  <c:v>1.1709999999999999E-3</c:v>
                </c:pt>
                <c:pt idx="53">
                  <c:v>1.1709999999999999E-3</c:v>
                </c:pt>
                <c:pt idx="54">
                  <c:v>1.1709999999999999E-3</c:v>
                </c:pt>
                <c:pt idx="55">
                  <c:v>1.1709999999999999E-3</c:v>
                </c:pt>
                <c:pt idx="57">
                  <c:v>6.3599999999999996E-4</c:v>
                </c:pt>
                <c:pt idx="58">
                  <c:v>6.3599999999999996E-4</c:v>
                </c:pt>
                <c:pt idx="60">
                  <c:v>8.1499999999999997E-4</c:v>
                </c:pt>
                <c:pt idx="62">
                  <c:v>2.47E-3</c:v>
                </c:pt>
                <c:pt idx="63">
                  <c:v>2.47E-3</c:v>
                </c:pt>
                <c:pt idx="68">
                  <c:v>7.9799999999999992E-3</c:v>
                </c:pt>
                <c:pt idx="69">
                  <c:v>4.1840000000000002E-3</c:v>
                </c:pt>
                <c:pt idx="70">
                  <c:v>8.7399999999999999E-4</c:v>
                </c:pt>
                <c:pt idx="71">
                  <c:v>8.7399999999999999E-4</c:v>
                </c:pt>
                <c:pt idx="72">
                  <c:v>4.1840000000000002E-3</c:v>
                </c:pt>
                <c:pt idx="75">
                  <c:v>8.9999999999999998E-4</c:v>
                </c:pt>
                <c:pt idx="76">
                  <c:v>3.7729999999999999E-3</c:v>
                </c:pt>
                <c:pt idx="77">
                  <c:v>2.0079999999999998E-3</c:v>
                </c:pt>
                <c:pt idx="79">
                  <c:v>7.0299999999999996E-4</c:v>
                </c:pt>
                <c:pt idx="80">
                  <c:v>7.0299999999999996E-4</c:v>
                </c:pt>
                <c:pt idx="81">
                  <c:v>6.3769999999999999E-3</c:v>
                </c:pt>
                <c:pt idx="89">
                  <c:v>4.7999999999999996E-3</c:v>
                </c:pt>
                <c:pt idx="90">
                  <c:v>1.9959999999999999E-3</c:v>
                </c:pt>
                <c:pt idx="93">
                  <c:v>9.6500000000000004E-4</c:v>
                </c:pt>
                <c:pt idx="94">
                  <c:v>1.238E-3</c:v>
                </c:pt>
                <c:pt idx="95">
                  <c:v>9.7099999999999997E-4</c:v>
                </c:pt>
                <c:pt idx="96">
                  <c:v>9.7099999999999997E-4</c:v>
                </c:pt>
                <c:pt idx="97">
                  <c:v>1.6180000000000001E-3</c:v>
                </c:pt>
                <c:pt idx="98">
                  <c:v>1.0683E-2</c:v>
                </c:pt>
                <c:pt idx="99">
                  <c:v>1.408E-3</c:v>
                </c:pt>
                <c:pt idx="100">
                  <c:v>1.408E-3</c:v>
                </c:pt>
                <c:pt idx="103">
                  <c:v>2.0339999999999998E-3</c:v>
                </c:pt>
                <c:pt idx="104">
                  <c:v>2.0339999999999998E-3</c:v>
                </c:pt>
                <c:pt idx="106">
                  <c:v>1.01E-3</c:v>
                </c:pt>
                <c:pt idx="111">
                  <c:v>2.1289999999999998E-3</c:v>
                </c:pt>
                <c:pt idx="112">
                  <c:v>2.9979999999999998E-3</c:v>
                </c:pt>
              </c:numCache>
            </c:numRef>
          </c:yVal>
          <c:smooth val="0"/>
          <c:extLst>
            <c:ext xmlns:c16="http://schemas.microsoft.com/office/drawing/2014/chart" uri="{C3380CC4-5D6E-409C-BE32-E72D297353CC}">
              <c16:uniqueId val="{00000000-44AD-5F41-BD26-4A84125A496A}"/>
            </c:ext>
          </c:extLst>
        </c:ser>
        <c:dLbls>
          <c:showLegendKey val="0"/>
          <c:showVal val="0"/>
          <c:showCatName val="0"/>
          <c:showSerName val="0"/>
          <c:showPercent val="0"/>
          <c:showBubbleSize val="0"/>
        </c:dLbls>
        <c:axId val="922960048"/>
        <c:axId val="923600944"/>
      </c:scatterChart>
      <c:valAx>
        <c:axId val="922960048"/>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log</a:t>
                </a:r>
                <a:r>
                  <a:rPr lang="en-US" baseline="0"/>
                  <a:t> body mass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600944"/>
        <c:crosses val="autoZero"/>
        <c:crossBetween val="midCat"/>
      </c:valAx>
      <c:valAx>
        <c:axId val="923600944"/>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log</a:t>
                </a:r>
                <a:r>
                  <a:rPr lang="en-US" baseline="0"/>
                  <a:t> metabolic rate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9600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body</a:t>
            </a:r>
            <a:r>
              <a:rPr lang="en-US" baseline="0"/>
              <a:t> mass vs.elevated (cort/ccst)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3.1133986762856648E-2"/>
                  <c:y val="0.1244838347441166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Sheet'!$V$2:$V$108</c:f>
              <c:numCache>
                <c:formatCode>#,##0</c:formatCode>
                <c:ptCount val="107"/>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8" formatCode="#,##0.00">
                  <c:v>38446.1</c:v>
                </c:pt>
                <c:pt idx="29" formatCode="#,##0.00">
                  <c:v>38446.1</c:v>
                </c:pt>
                <c:pt idx="30">
                  <c:v>45.2</c:v>
                </c:pt>
                <c:pt idx="31">
                  <c:v>45.2</c:v>
                </c:pt>
                <c:pt idx="32">
                  <c:v>117500</c:v>
                </c:pt>
                <c:pt idx="33">
                  <c:v>102500</c:v>
                </c:pt>
                <c:pt idx="34">
                  <c:v>750000</c:v>
                </c:pt>
                <c:pt idx="35">
                  <c:v>434000</c:v>
                </c:pt>
                <c:pt idx="36" formatCode="General">
                  <c:v>22983.200000000001</c:v>
                </c:pt>
                <c:pt idx="37" formatCode="General">
                  <c:v>22983.200000000001</c:v>
                </c:pt>
                <c:pt idx="38">
                  <c:v>61000</c:v>
                </c:pt>
                <c:pt idx="39">
                  <c:v>61000</c:v>
                </c:pt>
                <c:pt idx="40">
                  <c:v>21667</c:v>
                </c:pt>
                <c:pt idx="41" formatCode="General">
                  <c:v>728</c:v>
                </c:pt>
                <c:pt idx="42">
                  <c:v>2175000</c:v>
                </c:pt>
                <c:pt idx="43">
                  <c:v>6500</c:v>
                </c:pt>
                <c:pt idx="44">
                  <c:v>200000</c:v>
                </c:pt>
                <c:pt idx="45">
                  <c:v>215000</c:v>
                </c:pt>
                <c:pt idx="46">
                  <c:v>215000</c:v>
                </c:pt>
                <c:pt idx="47">
                  <c:v>215000</c:v>
                </c:pt>
                <c:pt idx="48">
                  <c:v>215000</c:v>
                </c:pt>
                <c:pt idx="49">
                  <c:v>215000</c:v>
                </c:pt>
                <c:pt idx="50">
                  <c:v>215000</c:v>
                </c:pt>
                <c:pt idx="51">
                  <c:v>164500</c:v>
                </c:pt>
                <c:pt idx="52">
                  <c:v>164500</c:v>
                </c:pt>
                <c:pt idx="53">
                  <c:v>164500</c:v>
                </c:pt>
                <c:pt idx="54">
                  <c:v>164500</c:v>
                </c:pt>
                <c:pt idx="55">
                  <c:v>164500</c:v>
                </c:pt>
                <c:pt idx="56">
                  <c:v>63000</c:v>
                </c:pt>
                <c:pt idx="57">
                  <c:v>3178000</c:v>
                </c:pt>
                <c:pt idx="58">
                  <c:v>3178000</c:v>
                </c:pt>
                <c:pt idx="60">
                  <c:v>444900</c:v>
                </c:pt>
                <c:pt idx="61">
                  <c:v>384000</c:v>
                </c:pt>
                <c:pt idx="62">
                  <c:v>3900</c:v>
                </c:pt>
                <c:pt idx="63">
                  <c:v>3900</c:v>
                </c:pt>
                <c:pt idx="64">
                  <c:v>20.87</c:v>
                </c:pt>
                <c:pt idx="68">
                  <c:v>30</c:v>
                </c:pt>
                <c:pt idx="69">
                  <c:v>37</c:v>
                </c:pt>
                <c:pt idx="70">
                  <c:v>800000</c:v>
                </c:pt>
                <c:pt idx="71">
                  <c:v>800000</c:v>
                </c:pt>
                <c:pt idx="72">
                  <c:v>1600</c:v>
                </c:pt>
                <c:pt idx="75" formatCode="General">
                  <c:v>3940034</c:v>
                </c:pt>
                <c:pt idx="76">
                  <c:v>26500</c:v>
                </c:pt>
                <c:pt idx="77">
                  <c:v>3500</c:v>
                </c:pt>
                <c:pt idx="78">
                  <c:v>17000</c:v>
                </c:pt>
                <c:pt idx="79">
                  <c:v>100000</c:v>
                </c:pt>
                <c:pt idx="80">
                  <c:v>100000</c:v>
                </c:pt>
                <c:pt idx="81" formatCode="General">
                  <c:v>105</c:v>
                </c:pt>
                <c:pt idx="82">
                  <c:v>12000</c:v>
                </c:pt>
                <c:pt idx="83">
                  <c:v>1332</c:v>
                </c:pt>
                <c:pt idx="84">
                  <c:v>1332</c:v>
                </c:pt>
                <c:pt idx="85">
                  <c:v>1021</c:v>
                </c:pt>
                <c:pt idx="86">
                  <c:v>1021</c:v>
                </c:pt>
                <c:pt idx="87">
                  <c:v>19500</c:v>
                </c:pt>
                <c:pt idx="88">
                  <c:v>19500</c:v>
                </c:pt>
                <c:pt idx="89" formatCode="General">
                  <c:v>235</c:v>
                </c:pt>
                <c:pt idx="90">
                  <c:v>87000</c:v>
                </c:pt>
                <c:pt idx="91">
                  <c:v>315000</c:v>
                </c:pt>
                <c:pt idx="92">
                  <c:v>315000</c:v>
                </c:pt>
                <c:pt idx="93">
                  <c:v>175000</c:v>
                </c:pt>
                <c:pt idx="94">
                  <c:v>81150</c:v>
                </c:pt>
                <c:pt idx="95">
                  <c:v>119700</c:v>
                </c:pt>
                <c:pt idx="96">
                  <c:v>119700</c:v>
                </c:pt>
                <c:pt idx="97">
                  <c:v>20200</c:v>
                </c:pt>
                <c:pt idx="98" formatCode="General">
                  <c:v>21</c:v>
                </c:pt>
                <c:pt idx="99">
                  <c:v>101250</c:v>
                </c:pt>
                <c:pt idx="100">
                  <c:v>101250</c:v>
                </c:pt>
                <c:pt idx="101">
                  <c:v>1602330</c:v>
                </c:pt>
                <c:pt idx="102" formatCode="General">
                  <c:v>412.5</c:v>
                </c:pt>
                <c:pt idx="103">
                  <c:v>776</c:v>
                </c:pt>
                <c:pt idx="104">
                  <c:v>776</c:v>
                </c:pt>
                <c:pt idx="105">
                  <c:v>700000</c:v>
                </c:pt>
                <c:pt idx="106">
                  <c:v>1500</c:v>
                </c:pt>
              </c:numCache>
            </c:numRef>
          </c:xVal>
          <c:yVal>
            <c:numRef>
              <c:f>'Main Data Sheet'!#REF!</c:f>
              <c:numCache>
                <c:formatCode>General</c:formatCode>
                <c:ptCount val="1"/>
                <c:pt idx="0">
                  <c:v>1</c:v>
                </c:pt>
              </c:numCache>
            </c:numRef>
          </c:yVal>
          <c:smooth val="0"/>
          <c:extLst>
            <c:ext xmlns:c16="http://schemas.microsoft.com/office/drawing/2014/chart" uri="{C3380CC4-5D6E-409C-BE32-E72D297353CC}">
              <c16:uniqueId val="{00000000-F038-0146-B9FD-1EAAD190B9BF}"/>
            </c:ext>
          </c:extLst>
        </c:ser>
        <c:dLbls>
          <c:showLegendKey val="0"/>
          <c:showVal val="0"/>
          <c:showCatName val="0"/>
          <c:showSerName val="0"/>
          <c:showPercent val="0"/>
          <c:showBubbleSize val="0"/>
        </c:dLbls>
        <c:axId val="732497712"/>
        <c:axId val="654376960"/>
      </c:scatterChart>
      <c:valAx>
        <c:axId val="732497712"/>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log</a:t>
                </a:r>
                <a:r>
                  <a:rPr lang="en-US" baseline="0"/>
                  <a:t> body mass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76960"/>
        <c:crosses val="autoZero"/>
        <c:crossBetween val="midCat"/>
      </c:valAx>
      <c:valAx>
        <c:axId val="654376960"/>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log elevated</a:t>
                </a:r>
                <a:r>
                  <a:rPr lang="en-US" baseline="0"/>
                  <a:t> (cort/ccst)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4977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597286380331757"/>
          <c:y val="6.2724889243650286E-2"/>
          <c:w val="0.82668328412212211"/>
          <c:h val="0.83499364962735489"/>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1.4520105904415903E-2"/>
                  <c:y val="-0.33624755769129216"/>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solidFill>
                          <a:schemeClr val="accent1"/>
                        </a:solidFill>
                      </a:rPr>
                      <a:t>y = 1713.9x</a:t>
                    </a:r>
                    <a:r>
                      <a:rPr lang="en-US" baseline="30000">
                        <a:solidFill>
                          <a:schemeClr val="accent1"/>
                        </a:solidFill>
                      </a:rPr>
                      <a:t>-0.315</a:t>
                    </a:r>
                    <a:br>
                      <a:rPr lang="en-US" baseline="0">
                        <a:solidFill>
                          <a:schemeClr val="accent1"/>
                        </a:solidFill>
                      </a:rPr>
                    </a:br>
                    <a:r>
                      <a:rPr lang="en-US" baseline="0">
                        <a:solidFill>
                          <a:schemeClr val="accent1"/>
                        </a:solidFill>
                      </a:rPr>
                      <a:t>R² = 0.0216</a:t>
                    </a:r>
                    <a:endParaRPr lang="en-US">
                      <a:solidFill>
                        <a:schemeClr val="accent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Sheet'!$V$2:$V$114</c:f>
              <c:numCache>
                <c:formatCode>#,##0</c:formatCode>
                <c:ptCount val="113"/>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8" formatCode="#,##0.00">
                  <c:v>38446.1</c:v>
                </c:pt>
                <c:pt idx="29" formatCode="#,##0.00">
                  <c:v>38446.1</c:v>
                </c:pt>
                <c:pt idx="30">
                  <c:v>45.2</c:v>
                </c:pt>
                <c:pt idx="31">
                  <c:v>45.2</c:v>
                </c:pt>
                <c:pt idx="32">
                  <c:v>117500</c:v>
                </c:pt>
                <c:pt idx="33">
                  <c:v>102500</c:v>
                </c:pt>
                <c:pt idx="34">
                  <c:v>750000</c:v>
                </c:pt>
                <c:pt idx="35">
                  <c:v>434000</c:v>
                </c:pt>
                <c:pt idx="36" formatCode="General">
                  <c:v>22983.200000000001</c:v>
                </c:pt>
                <c:pt idx="37" formatCode="General">
                  <c:v>22983.200000000001</c:v>
                </c:pt>
                <c:pt idx="38">
                  <c:v>61000</c:v>
                </c:pt>
                <c:pt idx="39">
                  <c:v>61000</c:v>
                </c:pt>
                <c:pt idx="40">
                  <c:v>21667</c:v>
                </c:pt>
                <c:pt idx="41" formatCode="General">
                  <c:v>728</c:v>
                </c:pt>
                <c:pt idx="42">
                  <c:v>2175000</c:v>
                </c:pt>
                <c:pt idx="43">
                  <c:v>6500</c:v>
                </c:pt>
                <c:pt idx="44">
                  <c:v>200000</c:v>
                </c:pt>
                <c:pt idx="45">
                  <c:v>215000</c:v>
                </c:pt>
                <c:pt idx="46">
                  <c:v>215000</c:v>
                </c:pt>
                <c:pt idx="47">
                  <c:v>215000</c:v>
                </c:pt>
                <c:pt idx="48">
                  <c:v>215000</c:v>
                </c:pt>
                <c:pt idx="49">
                  <c:v>215000</c:v>
                </c:pt>
                <c:pt idx="50">
                  <c:v>215000</c:v>
                </c:pt>
                <c:pt idx="51">
                  <c:v>164500</c:v>
                </c:pt>
                <c:pt idx="52">
                  <c:v>164500</c:v>
                </c:pt>
                <c:pt idx="53">
                  <c:v>164500</c:v>
                </c:pt>
                <c:pt idx="54">
                  <c:v>164500</c:v>
                </c:pt>
                <c:pt idx="55">
                  <c:v>164500</c:v>
                </c:pt>
                <c:pt idx="56">
                  <c:v>63000</c:v>
                </c:pt>
                <c:pt idx="57">
                  <c:v>3178000</c:v>
                </c:pt>
                <c:pt idx="58">
                  <c:v>3178000</c:v>
                </c:pt>
                <c:pt idx="60">
                  <c:v>444900</c:v>
                </c:pt>
                <c:pt idx="61">
                  <c:v>384000</c:v>
                </c:pt>
                <c:pt idx="62">
                  <c:v>3900</c:v>
                </c:pt>
                <c:pt idx="63">
                  <c:v>3900</c:v>
                </c:pt>
                <c:pt idx="64">
                  <c:v>20.87</c:v>
                </c:pt>
                <c:pt idx="68">
                  <c:v>30</c:v>
                </c:pt>
                <c:pt idx="69">
                  <c:v>37</c:v>
                </c:pt>
                <c:pt idx="70">
                  <c:v>800000</c:v>
                </c:pt>
                <c:pt idx="71">
                  <c:v>800000</c:v>
                </c:pt>
                <c:pt idx="72">
                  <c:v>1600</c:v>
                </c:pt>
                <c:pt idx="75" formatCode="General">
                  <c:v>3940034</c:v>
                </c:pt>
                <c:pt idx="76">
                  <c:v>26500</c:v>
                </c:pt>
                <c:pt idx="77">
                  <c:v>3500</c:v>
                </c:pt>
                <c:pt idx="78">
                  <c:v>17000</c:v>
                </c:pt>
                <c:pt idx="79">
                  <c:v>100000</c:v>
                </c:pt>
                <c:pt idx="80">
                  <c:v>100000</c:v>
                </c:pt>
                <c:pt idx="81" formatCode="General">
                  <c:v>105</c:v>
                </c:pt>
                <c:pt idx="82">
                  <c:v>12000</c:v>
                </c:pt>
                <c:pt idx="83">
                  <c:v>1332</c:v>
                </c:pt>
                <c:pt idx="84">
                  <c:v>1332</c:v>
                </c:pt>
                <c:pt idx="85">
                  <c:v>1021</c:v>
                </c:pt>
                <c:pt idx="86">
                  <c:v>1021</c:v>
                </c:pt>
                <c:pt idx="87">
                  <c:v>19500</c:v>
                </c:pt>
                <c:pt idx="88">
                  <c:v>19500</c:v>
                </c:pt>
                <c:pt idx="89" formatCode="General">
                  <c:v>235</c:v>
                </c:pt>
                <c:pt idx="90">
                  <c:v>87000</c:v>
                </c:pt>
                <c:pt idx="91">
                  <c:v>315000</c:v>
                </c:pt>
                <c:pt idx="92">
                  <c:v>315000</c:v>
                </c:pt>
                <c:pt idx="93">
                  <c:v>175000</c:v>
                </c:pt>
                <c:pt idx="94">
                  <c:v>81150</c:v>
                </c:pt>
                <c:pt idx="95">
                  <c:v>119700</c:v>
                </c:pt>
                <c:pt idx="96">
                  <c:v>119700</c:v>
                </c:pt>
                <c:pt idx="97">
                  <c:v>20200</c:v>
                </c:pt>
                <c:pt idx="98" formatCode="General">
                  <c:v>21</c:v>
                </c:pt>
                <c:pt idx="99">
                  <c:v>101250</c:v>
                </c:pt>
                <c:pt idx="100">
                  <c:v>101250</c:v>
                </c:pt>
                <c:pt idx="101">
                  <c:v>1602330</c:v>
                </c:pt>
                <c:pt idx="102" formatCode="General">
                  <c:v>412.5</c:v>
                </c:pt>
                <c:pt idx="103">
                  <c:v>776</c:v>
                </c:pt>
                <c:pt idx="104">
                  <c:v>776</c:v>
                </c:pt>
                <c:pt idx="105">
                  <c:v>700000</c:v>
                </c:pt>
                <c:pt idx="106">
                  <c:v>1500</c:v>
                </c:pt>
                <c:pt idx="107">
                  <c:v>277500</c:v>
                </c:pt>
                <c:pt idx="108">
                  <c:v>475000</c:v>
                </c:pt>
                <c:pt idx="109">
                  <c:v>103750</c:v>
                </c:pt>
                <c:pt idx="110">
                  <c:v>103750</c:v>
                </c:pt>
                <c:pt idx="111">
                  <c:v>5200</c:v>
                </c:pt>
                <c:pt idx="112">
                  <c:v>4132</c:v>
                </c:pt>
              </c:numCache>
            </c:numRef>
          </c:xVal>
          <c:yVal>
            <c:numRef>
              <c:f>'Main Data Sheet'!$I$2:$I$114</c:f>
              <c:numCache>
                <c:formatCode>General</c:formatCode>
                <c:ptCount val="113"/>
                <c:pt idx="6">
                  <c:v>20</c:v>
                </c:pt>
                <c:pt idx="7">
                  <c:v>33</c:v>
                </c:pt>
                <c:pt idx="11">
                  <c:v>51.505000000000003</c:v>
                </c:pt>
                <c:pt idx="12">
                  <c:v>420</c:v>
                </c:pt>
                <c:pt idx="16">
                  <c:v>25.683</c:v>
                </c:pt>
                <c:pt idx="18">
                  <c:v>63.3</c:v>
                </c:pt>
                <c:pt idx="21">
                  <c:v>21</c:v>
                </c:pt>
                <c:pt idx="28">
                  <c:v>618.5</c:v>
                </c:pt>
                <c:pt idx="32">
                  <c:v>114.66</c:v>
                </c:pt>
                <c:pt idx="36">
                  <c:v>312.55</c:v>
                </c:pt>
                <c:pt idx="40">
                  <c:v>60.92</c:v>
                </c:pt>
                <c:pt idx="41">
                  <c:v>349.23</c:v>
                </c:pt>
                <c:pt idx="42">
                  <c:v>4.0999999999999996</c:v>
                </c:pt>
                <c:pt idx="49">
                  <c:v>6.3</c:v>
                </c:pt>
                <c:pt idx="54">
                  <c:v>30</c:v>
                </c:pt>
                <c:pt idx="56">
                  <c:v>43.75</c:v>
                </c:pt>
                <c:pt idx="57">
                  <c:v>49.643599999999999</c:v>
                </c:pt>
                <c:pt idx="62">
                  <c:v>213.6</c:v>
                </c:pt>
                <c:pt idx="70">
                  <c:v>23.725000000000001</c:v>
                </c:pt>
                <c:pt idx="72">
                  <c:v>1054</c:v>
                </c:pt>
                <c:pt idx="79">
                  <c:v>48.7</c:v>
                </c:pt>
                <c:pt idx="82">
                  <c:v>47.548299999999998</c:v>
                </c:pt>
                <c:pt idx="83">
                  <c:v>58.4</c:v>
                </c:pt>
                <c:pt idx="85">
                  <c:v>170.1</c:v>
                </c:pt>
                <c:pt idx="87">
                  <c:v>248.8</c:v>
                </c:pt>
                <c:pt idx="89">
                  <c:v>138.59800000000001</c:v>
                </c:pt>
                <c:pt idx="91">
                  <c:v>64.122</c:v>
                </c:pt>
                <c:pt idx="93">
                  <c:v>15.4489</c:v>
                </c:pt>
                <c:pt idx="94">
                  <c:v>307.8</c:v>
                </c:pt>
                <c:pt idx="101">
                  <c:v>9.66</c:v>
                </c:pt>
                <c:pt idx="102">
                  <c:v>263.02999999999997</c:v>
                </c:pt>
                <c:pt idx="103">
                  <c:v>110.2</c:v>
                </c:pt>
                <c:pt idx="107">
                  <c:v>19.042999999999999</c:v>
                </c:pt>
                <c:pt idx="109">
                  <c:v>80.7</c:v>
                </c:pt>
              </c:numCache>
            </c:numRef>
          </c:yVal>
          <c:smooth val="0"/>
          <c:extLst>
            <c:ext xmlns:c16="http://schemas.microsoft.com/office/drawing/2014/chart" uri="{C3380CC4-5D6E-409C-BE32-E72D297353CC}">
              <c16:uniqueId val="{00000000-244B-5144-9DED-658D7774140B}"/>
            </c:ext>
          </c:extLst>
        </c:ser>
        <c:ser>
          <c:idx val="1"/>
          <c:order val="1"/>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0.4477982876930483"/>
                  <c:y val="9.929616246350674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solidFill>
                          <a:schemeClr val="accent2"/>
                        </a:solidFill>
                      </a:rPr>
                      <a:t>y = 3593x</a:t>
                    </a:r>
                    <a:r>
                      <a:rPr lang="en-US" baseline="30000">
                        <a:solidFill>
                          <a:schemeClr val="accent2"/>
                        </a:solidFill>
                      </a:rPr>
                      <a:t>-0.34</a:t>
                    </a:r>
                    <a:br>
                      <a:rPr lang="en-US" baseline="0">
                        <a:solidFill>
                          <a:schemeClr val="accent2"/>
                        </a:solidFill>
                      </a:rPr>
                    </a:br>
                    <a:r>
                      <a:rPr lang="en-US" baseline="0">
                        <a:solidFill>
                          <a:schemeClr val="accent2"/>
                        </a:solidFill>
                      </a:rPr>
                      <a:t>R² = 0.6273</a:t>
                    </a:r>
                    <a:endParaRPr lang="en-US">
                      <a:solidFill>
                        <a:schemeClr val="accent2"/>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Sheet'!$V$2:$V$114</c:f>
              <c:numCache>
                <c:formatCode>#,##0</c:formatCode>
                <c:ptCount val="113"/>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8" formatCode="#,##0.00">
                  <c:v>38446.1</c:v>
                </c:pt>
                <c:pt idx="29" formatCode="#,##0.00">
                  <c:v>38446.1</c:v>
                </c:pt>
                <c:pt idx="30">
                  <c:v>45.2</c:v>
                </c:pt>
                <c:pt idx="31">
                  <c:v>45.2</c:v>
                </c:pt>
                <c:pt idx="32">
                  <c:v>117500</c:v>
                </c:pt>
                <c:pt idx="33">
                  <c:v>102500</c:v>
                </c:pt>
                <c:pt idx="34">
                  <c:v>750000</c:v>
                </c:pt>
                <c:pt idx="35">
                  <c:v>434000</c:v>
                </c:pt>
                <c:pt idx="36" formatCode="General">
                  <c:v>22983.200000000001</c:v>
                </c:pt>
                <c:pt idx="37" formatCode="General">
                  <c:v>22983.200000000001</c:v>
                </c:pt>
                <c:pt idx="38">
                  <c:v>61000</c:v>
                </c:pt>
                <c:pt idx="39">
                  <c:v>61000</c:v>
                </c:pt>
                <c:pt idx="40">
                  <c:v>21667</c:v>
                </c:pt>
                <c:pt idx="41" formatCode="General">
                  <c:v>728</c:v>
                </c:pt>
                <c:pt idx="42">
                  <c:v>2175000</c:v>
                </c:pt>
                <c:pt idx="43">
                  <c:v>6500</c:v>
                </c:pt>
                <c:pt idx="44">
                  <c:v>200000</c:v>
                </c:pt>
                <c:pt idx="45">
                  <c:v>215000</c:v>
                </c:pt>
                <c:pt idx="46">
                  <c:v>215000</c:v>
                </c:pt>
                <c:pt idx="47">
                  <c:v>215000</c:v>
                </c:pt>
                <c:pt idx="48">
                  <c:v>215000</c:v>
                </c:pt>
                <c:pt idx="49">
                  <c:v>215000</c:v>
                </c:pt>
                <c:pt idx="50">
                  <c:v>215000</c:v>
                </c:pt>
                <c:pt idx="51">
                  <c:v>164500</c:v>
                </c:pt>
                <c:pt idx="52">
                  <c:v>164500</c:v>
                </c:pt>
                <c:pt idx="53">
                  <c:v>164500</c:v>
                </c:pt>
                <c:pt idx="54">
                  <c:v>164500</c:v>
                </c:pt>
                <c:pt idx="55">
                  <c:v>164500</c:v>
                </c:pt>
                <c:pt idx="56">
                  <c:v>63000</c:v>
                </c:pt>
                <c:pt idx="57">
                  <c:v>3178000</c:v>
                </c:pt>
                <c:pt idx="58">
                  <c:v>3178000</c:v>
                </c:pt>
                <c:pt idx="60">
                  <c:v>444900</c:v>
                </c:pt>
                <c:pt idx="61">
                  <c:v>384000</c:v>
                </c:pt>
                <c:pt idx="62">
                  <c:v>3900</c:v>
                </c:pt>
                <c:pt idx="63">
                  <c:v>3900</c:v>
                </c:pt>
                <c:pt idx="64">
                  <c:v>20.87</c:v>
                </c:pt>
                <c:pt idx="68">
                  <c:v>30</c:v>
                </c:pt>
                <c:pt idx="69">
                  <c:v>37</c:v>
                </c:pt>
                <c:pt idx="70">
                  <c:v>800000</c:v>
                </c:pt>
                <c:pt idx="71">
                  <c:v>800000</c:v>
                </c:pt>
                <c:pt idx="72">
                  <c:v>1600</c:v>
                </c:pt>
                <c:pt idx="75" formatCode="General">
                  <c:v>3940034</c:v>
                </c:pt>
                <c:pt idx="76">
                  <c:v>26500</c:v>
                </c:pt>
                <c:pt idx="77">
                  <c:v>3500</c:v>
                </c:pt>
                <c:pt idx="78">
                  <c:v>17000</c:v>
                </c:pt>
                <c:pt idx="79">
                  <c:v>100000</c:v>
                </c:pt>
                <c:pt idx="80">
                  <c:v>100000</c:v>
                </c:pt>
                <c:pt idx="81" formatCode="General">
                  <c:v>105</c:v>
                </c:pt>
                <c:pt idx="82">
                  <c:v>12000</c:v>
                </c:pt>
                <c:pt idx="83">
                  <c:v>1332</c:v>
                </c:pt>
                <c:pt idx="84">
                  <c:v>1332</c:v>
                </c:pt>
                <c:pt idx="85">
                  <c:v>1021</c:v>
                </c:pt>
                <c:pt idx="86">
                  <c:v>1021</c:v>
                </c:pt>
                <c:pt idx="87">
                  <c:v>19500</c:v>
                </c:pt>
                <c:pt idx="88">
                  <c:v>19500</c:v>
                </c:pt>
                <c:pt idx="89" formatCode="General">
                  <c:v>235</c:v>
                </c:pt>
                <c:pt idx="90">
                  <c:v>87000</c:v>
                </c:pt>
                <c:pt idx="91">
                  <c:v>315000</c:v>
                </c:pt>
                <c:pt idx="92">
                  <c:v>315000</c:v>
                </c:pt>
                <c:pt idx="93">
                  <c:v>175000</c:v>
                </c:pt>
                <c:pt idx="94">
                  <c:v>81150</c:v>
                </c:pt>
                <c:pt idx="95">
                  <c:v>119700</c:v>
                </c:pt>
                <c:pt idx="96">
                  <c:v>119700</c:v>
                </c:pt>
                <c:pt idx="97">
                  <c:v>20200</c:v>
                </c:pt>
                <c:pt idx="98" formatCode="General">
                  <c:v>21</c:v>
                </c:pt>
                <c:pt idx="99">
                  <c:v>101250</c:v>
                </c:pt>
                <c:pt idx="100">
                  <c:v>101250</c:v>
                </c:pt>
                <c:pt idx="101">
                  <c:v>1602330</c:v>
                </c:pt>
                <c:pt idx="102" formatCode="General">
                  <c:v>412.5</c:v>
                </c:pt>
                <c:pt idx="103">
                  <c:v>776</c:v>
                </c:pt>
                <c:pt idx="104">
                  <c:v>776</c:v>
                </c:pt>
                <c:pt idx="105">
                  <c:v>700000</c:v>
                </c:pt>
                <c:pt idx="106">
                  <c:v>1500</c:v>
                </c:pt>
                <c:pt idx="107">
                  <c:v>277500</c:v>
                </c:pt>
                <c:pt idx="108">
                  <c:v>475000</c:v>
                </c:pt>
                <c:pt idx="109">
                  <c:v>103750</c:v>
                </c:pt>
                <c:pt idx="110">
                  <c:v>103750</c:v>
                </c:pt>
                <c:pt idx="111">
                  <c:v>5200</c:v>
                </c:pt>
                <c:pt idx="112">
                  <c:v>4132</c:v>
                </c:pt>
              </c:numCache>
            </c:numRef>
          </c:xVal>
          <c:yVal>
            <c:numRef>
              <c:f>'Main Data Sheet'!$J$2:$J$114</c:f>
              <c:numCache>
                <c:formatCode>General</c:formatCode>
                <c:ptCount val="113"/>
                <c:pt idx="5">
                  <c:v>60</c:v>
                </c:pt>
                <c:pt idx="10">
                  <c:v>26.667000000000002</c:v>
                </c:pt>
                <c:pt idx="15">
                  <c:v>90</c:v>
                </c:pt>
                <c:pt idx="29">
                  <c:v>232.9</c:v>
                </c:pt>
                <c:pt idx="37">
                  <c:v>215.8</c:v>
                </c:pt>
                <c:pt idx="42">
                  <c:v>8.6</c:v>
                </c:pt>
                <c:pt idx="50">
                  <c:v>102.75</c:v>
                </c:pt>
                <c:pt idx="55">
                  <c:v>640</c:v>
                </c:pt>
                <c:pt idx="61">
                  <c:v>16.2</c:v>
                </c:pt>
                <c:pt idx="63">
                  <c:v>354.7</c:v>
                </c:pt>
                <c:pt idx="64">
                  <c:v>1743.1</c:v>
                </c:pt>
                <c:pt idx="68">
                  <c:v>2842.33</c:v>
                </c:pt>
                <c:pt idx="69">
                  <c:v>1711.28</c:v>
                </c:pt>
                <c:pt idx="71">
                  <c:v>64.758300000000006</c:v>
                </c:pt>
                <c:pt idx="77">
                  <c:v>132</c:v>
                </c:pt>
                <c:pt idx="80">
                  <c:v>64.099999999999994</c:v>
                </c:pt>
                <c:pt idx="84">
                  <c:v>1030</c:v>
                </c:pt>
                <c:pt idx="86">
                  <c:v>101.9</c:v>
                </c:pt>
                <c:pt idx="88">
                  <c:v>302.2</c:v>
                </c:pt>
                <c:pt idx="92">
                  <c:v>104.312</c:v>
                </c:pt>
                <c:pt idx="98">
                  <c:v>1436.55</c:v>
                </c:pt>
                <c:pt idx="104">
                  <c:v>175</c:v>
                </c:pt>
                <c:pt idx="110">
                  <c:v>45.1</c:v>
                </c:pt>
              </c:numCache>
            </c:numRef>
          </c:yVal>
          <c:smooth val="0"/>
          <c:extLst>
            <c:ext xmlns:c16="http://schemas.microsoft.com/office/drawing/2014/chart" uri="{C3380CC4-5D6E-409C-BE32-E72D297353CC}">
              <c16:uniqueId val="{00000002-244B-5144-9DED-658D7774140B}"/>
            </c:ext>
          </c:extLst>
        </c:ser>
        <c:dLbls>
          <c:showLegendKey val="0"/>
          <c:showVal val="0"/>
          <c:showCatName val="0"/>
          <c:showSerName val="0"/>
          <c:showPercent val="0"/>
          <c:showBubbleSize val="0"/>
        </c:dLbls>
        <c:axId val="1341521008"/>
        <c:axId val="1342108304"/>
      </c:scatterChart>
      <c:valAx>
        <c:axId val="1341521008"/>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108304"/>
        <c:crosses val="autoZero"/>
        <c:crossBetween val="midCat"/>
      </c:valAx>
      <c:valAx>
        <c:axId val="134210830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5210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Elevated</a:t>
            </a:r>
            <a:r>
              <a:rPr lang="en-US" baseline="0"/>
              <a:t> Cortisol vs. Baseline Cortisol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10030490709191961"/>
                  <c:y val="-3.4447456351475399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t>y = 4.7079x</a:t>
                    </a:r>
                    <a:r>
                      <a:rPr lang="en-US" sz="1400" baseline="30000"/>
                      <a:t>0.9498</a:t>
                    </a:r>
                    <a:br>
                      <a:rPr lang="en-US" sz="1400" baseline="0"/>
                    </a:br>
                    <a:r>
                      <a:rPr lang="en-US" sz="1400" baseline="0"/>
                      <a:t>R² = 0.8826</a:t>
                    </a:r>
                    <a:endParaRPr lang="en-US" sz="14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Sheet'!$I$2:$I$114</c:f>
              <c:numCache>
                <c:formatCode>General</c:formatCode>
                <c:ptCount val="113"/>
                <c:pt idx="6">
                  <c:v>20</c:v>
                </c:pt>
                <c:pt idx="7">
                  <c:v>33</c:v>
                </c:pt>
                <c:pt idx="11">
                  <c:v>51.505000000000003</c:v>
                </c:pt>
                <c:pt idx="12">
                  <c:v>420</c:v>
                </c:pt>
                <c:pt idx="16">
                  <c:v>25.683</c:v>
                </c:pt>
                <c:pt idx="18">
                  <c:v>63.3</c:v>
                </c:pt>
                <c:pt idx="21">
                  <c:v>21</c:v>
                </c:pt>
                <c:pt idx="28">
                  <c:v>618.5</c:v>
                </c:pt>
                <c:pt idx="32">
                  <c:v>114.66</c:v>
                </c:pt>
                <c:pt idx="36">
                  <c:v>312.55</c:v>
                </c:pt>
                <c:pt idx="40">
                  <c:v>60.92</c:v>
                </c:pt>
                <c:pt idx="41">
                  <c:v>349.23</c:v>
                </c:pt>
                <c:pt idx="42">
                  <c:v>4.0999999999999996</c:v>
                </c:pt>
                <c:pt idx="49">
                  <c:v>6.3</c:v>
                </c:pt>
                <c:pt idx="54">
                  <c:v>30</c:v>
                </c:pt>
                <c:pt idx="56">
                  <c:v>43.75</c:v>
                </c:pt>
                <c:pt idx="57">
                  <c:v>49.643599999999999</c:v>
                </c:pt>
                <c:pt idx="62">
                  <c:v>213.6</c:v>
                </c:pt>
                <c:pt idx="70">
                  <c:v>23.725000000000001</c:v>
                </c:pt>
                <c:pt idx="72">
                  <c:v>1054</c:v>
                </c:pt>
                <c:pt idx="79">
                  <c:v>48.7</c:v>
                </c:pt>
                <c:pt idx="82">
                  <c:v>47.548299999999998</c:v>
                </c:pt>
                <c:pt idx="83">
                  <c:v>58.4</c:v>
                </c:pt>
                <c:pt idx="85">
                  <c:v>170.1</c:v>
                </c:pt>
                <c:pt idx="87">
                  <c:v>248.8</c:v>
                </c:pt>
                <c:pt idx="89">
                  <c:v>138.59800000000001</c:v>
                </c:pt>
                <c:pt idx="91">
                  <c:v>64.122</c:v>
                </c:pt>
                <c:pt idx="93">
                  <c:v>15.4489</c:v>
                </c:pt>
                <c:pt idx="94">
                  <c:v>307.8</c:v>
                </c:pt>
                <c:pt idx="101">
                  <c:v>9.66</c:v>
                </c:pt>
                <c:pt idx="102">
                  <c:v>263.02999999999997</c:v>
                </c:pt>
                <c:pt idx="103">
                  <c:v>110.2</c:v>
                </c:pt>
                <c:pt idx="107">
                  <c:v>19.042999999999999</c:v>
                </c:pt>
                <c:pt idx="109">
                  <c:v>80.7</c:v>
                </c:pt>
              </c:numCache>
            </c:numRef>
          </c:xVal>
          <c:yVal>
            <c:numRef>
              <c:f>'Main Data Sheet'!$K$2:$K$114</c:f>
              <c:numCache>
                <c:formatCode>General</c:formatCode>
                <c:ptCount val="113"/>
                <c:pt idx="6">
                  <c:v>40</c:v>
                </c:pt>
                <c:pt idx="7">
                  <c:v>188.5</c:v>
                </c:pt>
                <c:pt idx="11">
                  <c:v>80.245000000000005</c:v>
                </c:pt>
                <c:pt idx="12">
                  <c:v>1940</c:v>
                </c:pt>
                <c:pt idx="16">
                  <c:v>209.113</c:v>
                </c:pt>
                <c:pt idx="17">
                  <c:v>11.76</c:v>
                </c:pt>
                <c:pt idx="21">
                  <c:v>37</c:v>
                </c:pt>
                <c:pt idx="28">
                  <c:v>1850.3</c:v>
                </c:pt>
                <c:pt idx="32">
                  <c:v>179.49199999999999</c:v>
                </c:pt>
                <c:pt idx="36">
                  <c:v>969.85</c:v>
                </c:pt>
                <c:pt idx="40">
                  <c:v>459</c:v>
                </c:pt>
                <c:pt idx="42">
                  <c:v>28.3</c:v>
                </c:pt>
                <c:pt idx="49">
                  <c:v>19.2</c:v>
                </c:pt>
                <c:pt idx="54">
                  <c:v>115</c:v>
                </c:pt>
                <c:pt idx="56">
                  <c:v>744.95</c:v>
                </c:pt>
                <c:pt idx="62">
                  <c:v>384.6</c:v>
                </c:pt>
                <c:pt idx="70">
                  <c:v>49.3</c:v>
                </c:pt>
                <c:pt idx="72" formatCode="#,##0">
                  <c:v>11130</c:v>
                </c:pt>
                <c:pt idx="79">
                  <c:v>1428.8</c:v>
                </c:pt>
                <c:pt idx="82">
                  <c:v>65.816100000000006</c:v>
                </c:pt>
                <c:pt idx="83">
                  <c:v>104.2</c:v>
                </c:pt>
                <c:pt idx="85">
                  <c:v>324.60000000000002</c:v>
                </c:pt>
                <c:pt idx="87">
                  <c:v>1100.7</c:v>
                </c:pt>
                <c:pt idx="89">
                  <c:v>272.02499999999998</c:v>
                </c:pt>
                <c:pt idx="91">
                  <c:v>14.9099</c:v>
                </c:pt>
                <c:pt idx="93">
                  <c:v>24.7638</c:v>
                </c:pt>
                <c:pt idx="94">
                  <c:v>820.9</c:v>
                </c:pt>
                <c:pt idx="101">
                  <c:v>35.28</c:v>
                </c:pt>
                <c:pt idx="102">
                  <c:v>416.87</c:v>
                </c:pt>
                <c:pt idx="103">
                  <c:v>614.1</c:v>
                </c:pt>
                <c:pt idx="107">
                  <c:v>112.455</c:v>
                </c:pt>
                <c:pt idx="109">
                  <c:v>369.6</c:v>
                </c:pt>
              </c:numCache>
            </c:numRef>
          </c:yVal>
          <c:smooth val="0"/>
          <c:extLst>
            <c:ext xmlns:c16="http://schemas.microsoft.com/office/drawing/2014/chart" uri="{C3380CC4-5D6E-409C-BE32-E72D297353CC}">
              <c16:uniqueId val="{00000000-1B95-4E46-A5C2-5241D8C4A68D}"/>
            </c:ext>
          </c:extLst>
        </c:ser>
        <c:dLbls>
          <c:showLegendKey val="0"/>
          <c:showVal val="0"/>
          <c:showCatName val="0"/>
          <c:showSerName val="0"/>
          <c:showPercent val="0"/>
          <c:showBubbleSize val="0"/>
        </c:dLbls>
        <c:axId val="325326255"/>
        <c:axId val="325275103"/>
      </c:scatterChart>
      <c:valAx>
        <c:axId val="325326255"/>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Baseline</a:t>
                </a:r>
                <a:r>
                  <a:rPr lang="en-US" baseline="0"/>
                  <a:t> Cortisol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275103"/>
        <c:crosses val="autoZero"/>
        <c:crossBetween val="midCat"/>
      </c:valAx>
      <c:valAx>
        <c:axId val="325275103"/>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Elevated</a:t>
                </a:r>
                <a:r>
                  <a:rPr lang="en-US" baseline="0"/>
                  <a:t> Cortisol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3262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Elevated</a:t>
            </a:r>
            <a:r>
              <a:rPr lang="en-US" baseline="0"/>
              <a:t> Corticosterone vs. Baseline Corticosterone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31781575265930923"/>
                  <c:y val="-5.7572975699568534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t>y = 7.0656x</a:t>
                    </a:r>
                    <a:r>
                      <a:rPr lang="en-US" sz="1400" baseline="30000"/>
                      <a:t>0.9172</a:t>
                    </a:r>
                    <a:br>
                      <a:rPr lang="en-US" sz="1400" baseline="0"/>
                    </a:br>
                    <a:r>
                      <a:rPr lang="en-US" sz="1400" baseline="0"/>
                      <a:t>R² = 0.2903</a:t>
                    </a:r>
                    <a:endParaRPr lang="en-US" sz="14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Sheet'!$J$2:$J$114</c:f>
              <c:numCache>
                <c:formatCode>General</c:formatCode>
                <c:ptCount val="113"/>
                <c:pt idx="5">
                  <c:v>60</c:v>
                </c:pt>
                <c:pt idx="10">
                  <c:v>26.667000000000002</c:v>
                </c:pt>
                <c:pt idx="15">
                  <c:v>90</c:v>
                </c:pt>
                <c:pt idx="29">
                  <c:v>232.9</c:v>
                </c:pt>
                <c:pt idx="37">
                  <c:v>215.8</c:v>
                </c:pt>
                <c:pt idx="42">
                  <c:v>8.6</c:v>
                </c:pt>
                <c:pt idx="50">
                  <c:v>102.75</c:v>
                </c:pt>
                <c:pt idx="55">
                  <c:v>640</c:v>
                </c:pt>
                <c:pt idx="61">
                  <c:v>16.2</c:v>
                </c:pt>
                <c:pt idx="63">
                  <c:v>354.7</c:v>
                </c:pt>
                <c:pt idx="64">
                  <c:v>1743.1</c:v>
                </c:pt>
                <c:pt idx="68">
                  <c:v>2842.33</c:v>
                </c:pt>
                <c:pt idx="69">
                  <c:v>1711.28</c:v>
                </c:pt>
                <c:pt idx="71">
                  <c:v>64.758300000000006</c:v>
                </c:pt>
                <c:pt idx="77">
                  <c:v>132</c:v>
                </c:pt>
                <c:pt idx="80">
                  <c:v>64.099999999999994</c:v>
                </c:pt>
                <c:pt idx="84">
                  <c:v>1030</c:v>
                </c:pt>
                <c:pt idx="86">
                  <c:v>101.9</c:v>
                </c:pt>
                <c:pt idx="88">
                  <c:v>302.2</c:v>
                </c:pt>
                <c:pt idx="92">
                  <c:v>104.312</c:v>
                </c:pt>
                <c:pt idx="98">
                  <c:v>1436.55</c:v>
                </c:pt>
                <c:pt idx="104">
                  <c:v>175</c:v>
                </c:pt>
                <c:pt idx="110">
                  <c:v>45.1</c:v>
                </c:pt>
              </c:numCache>
            </c:numRef>
          </c:xVal>
          <c:yVal>
            <c:numRef>
              <c:f>'Main Data Sheet'!$L$2:$L$114</c:f>
              <c:numCache>
                <c:formatCode>General</c:formatCode>
                <c:ptCount val="113"/>
                <c:pt idx="5">
                  <c:v>140</c:v>
                </c:pt>
                <c:pt idx="10">
                  <c:v>749.5</c:v>
                </c:pt>
                <c:pt idx="15">
                  <c:v>870</c:v>
                </c:pt>
                <c:pt idx="29">
                  <c:v>3578</c:v>
                </c:pt>
                <c:pt idx="37">
                  <c:v>684.8</c:v>
                </c:pt>
                <c:pt idx="42">
                  <c:v>27.2</c:v>
                </c:pt>
                <c:pt idx="50">
                  <c:v>283.89999999999998</c:v>
                </c:pt>
                <c:pt idx="55">
                  <c:v>1320</c:v>
                </c:pt>
                <c:pt idx="61">
                  <c:v>25.1</c:v>
                </c:pt>
                <c:pt idx="63">
                  <c:v>544.5</c:v>
                </c:pt>
                <c:pt idx="71">
                  <c:v>178.8</c:v>
                </c:pt>
                <c:pt idx="77">
                  <c:v>4417</c:v>
                </c:pt>
                <c:pt idx="80">
                  <c:v>666.5</c:v>
                </c:pt>
                <c:pt idx="84">
                  <c:v>2120</c:v>
                </c:pt>
                <c:pt idx="86">
                  <c:v>174.7</c:v>
                </c:pt>
                <c:pt idx="88">
                  <c:v>1621.8</c:v>
                </c:pt>
                <c:pt idx="92">
                  <c:v>59.786999999999999</c:v>
                </c:pt>
                <c:pt idx="98">
                  <c:v>2368.4699999999998</c:v>
                </c:pt>
                <c:pt idx="104">
                  <c:v>2672.8</c:v>
                </c:pt>
                <c:pt idx="110">
                  <c:v>212.8</c:v>
                </c:pt>
              </c:numCache>
            </c:numRef>
          </c:yVal>
          <c:smooth val="0"/>
          <c:extLst>
            <c:ext xmlns:c16="http://schemas.microsoft.com/office/drawing/2014/chart" uri="{C3380CC4-5D6E-409C-BE32-E72D297353CC}">
              <c16:uniqueId val="{00000000-B1EA-C348-9984-D04CA8654E77}"/>
            </c:ext>
          </c:extLst>
        </c:ser>
        <c:dLbls>
          <c:showLegendKey val="0"/>
          <c:showVal val="0"/>
          <c:showCatName val="0"/>
          <c:showSerName val="0"/>
          <c:showPercent val="0"/>
          <c:showBubbleSize val="0"/>
        </c:dLbls>
        <c:axId val="331153727"/>
        <c:axId val="331291951"/>
      </c:scatterChart>
      <c:valAx>
        <c:axId val="331153727"/>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Baseline</a:t>
                </a:r>
                <a:r>
                  <a:rPr lang="en-US" baseline="0"/>
                  <a:t> Corticosterone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291951"/>
        <c:crosses val="autoZero"/>
        <c:crossBetween val="midCat"/>
      </c:valAx>
      <c:valAx>
        <c:axId val="331291951"/>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Elevated</a:t>
                </a:r>
                <a:r>
                  <a:rPr lang="en-US" baseline="0"/>
                  <a:t> Corticosterone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1537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Cortisol</a:t>
            </a:r>
            <a:r>
              <a:rPr lang="en-US" baseline="0"/>
              <a:t> (Elevated and Basal) vs. Metabolic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Basal</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8.2751253939353883E-2"/>
                  <c:y val="0.1460618405601096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aseline="0">
                        <a:solidFill>
                          <a:schemeClr val="accent1"/>
                        </a:solidFill>
                      </a:rPr>
                      <a:t>y = 675.69x</a:t>
                    </a:r>
                    <a:r>
                      <a:rPr lang="en-US" sz="1200" baseline="30000">
                        <a:solidFill>
                          <a:schemeClr val="accent1"/>
                        </a:solidFill>
                      </a:rPr>
                      <a:t>0.3088</a:t>
                    </a:r>
                    <a:br>
                      <a:rPr lang="en-US" sz="1200" baseline="0">
                        <a:solidFill>
                          <a:schemeClr val="accent1"/>
                        </a:solidFill>
                      </a:rPr>
                    </a:br>
                    <a:r>
                      <a:rPr lang="en-US" sz="1200" baseline="0">
                        <a:solidFill>
                          <a:schemeClr val="accent1"/>
                        </a:solidFill>
                      </a:rPr>
                      <a:t>R² = 0.0276</a:t>
                    </a:r>
                    <a:endParaRPr lang="en-US" sz="1200">
                      <a:solidFill>
                        <a:schemeClr val="accent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Sheet'!$W$2:$W$114</c:f>
              <c:numCache>
                <c:formatCode>General</c:formatCode>
                <c:ptCount val="113"/>
                <c:pt idx="2">
                  <c:v>2.15E-3</c:v>
                </c:pt>
                <c:pt idx="16">
                  <c:v>2.9889999999999999E-3</c:v>
                </c:pt>
                <c:pt idx="17">
                  <c:v>2.5999999999999999E-3</c:v>
                </c:pt>
                <c:pt idx="18">
                  <c:v>1.665E-3</c:v>
                </c:pt>
                <c:pt idx="19">
                  <c:v>1.116E-3</c:v>
                </c:pt>
                <c:pt idx="20">
                  <c:v>1.116E-3</c:v>
                </c:pt>
                <c:pt idx="21">
                  <c:v>1.116E-3</c:v>
                </c:pt>
                <c:pt idx="28">
                  <c:v>1.6069999999999999E-3</c:v>
                </c:pt>
                <c:pt idx="29">
                  <c:v>1.6069999999999999E-3</c:v>
                </c:pt>
                <c:pt idx="30">
                  <c:v>6.143E-3</c:v>
                </c:pt>
                <c:pt idx="31">
                  <c:v>6.143E-3</c:v>
                </c:pt>
                <c:pt idx="34">
                  <c:v>8.8400000000000002E-4</c:v>
                </c:pt>
                <c:pt idx="35">
                  <c:v>5.5199999999999997E-4</c:v>
                </c:pt>
                <c:pt idx="38">
                  <c:v>1.4E-3</c:v>
                </c:pt>
                <c:pt idx="39">
                  <c:v>1.4E-3</c:v>
                </c:pt>
                <c:pt idx="40">
                  <c:v>2.1559999999999999E-3</c:v>
                </c:pt>
                <c:pt idx="41">
                  <c:v>3.333E-3</c:v>
                </c:pt>
                <c:pt idx="43">
                  <c:v>1.562E-3</c:v>
                </c:pt>
                <c:pt idx="44">
                  <c:v>1.678E-3</c:v>
                </c:pt>
                <c:pt idx="51">
                  <c:v>1.1709999999999999E-3</c:v>
                </c:pt>
                <c:pt idx="52">
                  <c:v>1.1709999999999999E-3</c:v>
                </c:pt>
                <c:pt idx="53">
                  <c:v>1.1709999999999999E-3</c:v>
                </c:pt>
                <c:pt idx="54">
                  <c:v>1.1709999999999999E-3</c:v>
                </c:pt>
                <c:pt idx="55">
                  <c:v>1.1709999999999999E-3</c:v>
                </c:pt>
                <c:pt idx="57">
                  <c:v>6.3599999999999996E-4</c:v>
                </c:pt>
                <c:pt idx="58">
                  <c:v>6.3599999999999996E-4</c:v>
                </c:pt>
                <c:pt idx="60">
                  <c:v>8.1499999999999997E-4</c:v>
                </c:pt>
                <c:pt idx="62">
                  <c:v>2.47E-3</c:v>
                </c:pt>
                <c:pt idx="63">
                  <c:v>2.47E-3</c:v>
                </c:pt>
                <c:pt idx="68">
                  <c:v>7.9799999999999992E-3</c:v>
                </c:pt>
                <c:pt idx="69">
                  <c:v>4.1840000000000002E-3</c:v>
                </c:pt>
                <c:pt idx="70">
                  <c:v>8.7399999999999999E-4</c:v>
                </c:pt>
                <c:pt idx="71">
                  <c:v>8.7399999999999999E-4</c:v>
                </c:pt>
                <c:pt idx="72">
                  <c:v>4.1840000000000002E-3</c:v>
                </c:pt>
                <c:pt idx="75">
                  <c:v>8.9999999999999998E-4</c:v>
                </c:pt>
                <c:pt idx="76">
                  <c:v>3.7729999999999999E-3</c:v>
                </c:pt>
                <c:pt idx="77">
                  <c:v>2.0079999999999998E-3</c:v>
                </c:pt>
                <c:pt idx="79">
                  <c:v>7.0299999999999996E-4</c:v>
                </c:pt>
                <c:pt idx="80">
                  <c:v>7.0299999999999996E-4</c:v>
                </c:pt>
                <c:pt idx="81">
                  <c:v>6.3769999999999999E-3</c:v>
                </c:pt>
                <c:pt idx="89">
                  <c:v>4.7999999999999996E-3</c:v>
                </c:pt>
                <c:pt idx="90">
                  <c:v>1.9959999999999999E-3</c:v>
                </c:pt>
                <c:pt idx="93">
                  <c:v>9.6500000000000004E-4</c:v>
                </c:pt>
                <c:pt idx="94">
                  <c:v>1.238E-3</c:v>
                </c:pt>
                <c:pt idx="95">
                  <c:v>9.7099999999999997E-4</c:v>
                </c:pt>
                <c:pt idx="96">
                  <c:v>9.7099999999999997E-4</c:v>
                </c:pt>
                <c:pt idx="97">
                  <c:v>1.6180000000000001E-3</c:v>
                </c:pt>
                <c:pt idx="98">
                  <c:v>1.0683E-2</c:v>
                </c:pt>
                <c:pt idx="99">
                  <c:v>1.408E-3</c:v>
                </c:pt>
                <c:pt idx="100">
                  <c:v>1.408E-3</c:v>
                </c:pt>
                <c:pt idx="103">
                  <c:v>2.0339999999999998E-3</c:v>
                </c:pt>
                <c:pt idx="104">
                  <c:v>2.0339999999999998E-3</c:v>
                </c:pt>
                <c:pt idx="106">
                  <c:v>1.01E-3</c:v>
                </c:pt>
                <c:pt idx="111">
                  <c:v>2.1289999999999998E-3</c:v>
                </c:pt>
                <c:pt idx="112">
                  <c:v>2.9979999999999998E-3</c:v>
                </c:pt>
              </c:numCache>
            </c:numRef>
          </c:xVal>
          <c:yVal>
            <c:numRef>
              <c:f>'Main Data Sheet'!$I$2:$I$114</c:f>
              <c:numCache>
                <c:formatCode>General</c:formatCode>
                <c:ptCount val="113"/>
                <c:pt idx="6">
                  <c:v>20</c:v>
                </c:pt>
                <c:pt idx="7">
                  <c:v>33</c:v>
                </c:pt>
                <c:pt idx="11">
                  <c:v>51.505000000000003</c:v>
                </c:pt>
                <c:pt idx="12">
                  <c:v>420</c:v>
                </c:pt>
                <c:pt idx="16">
                  <c:v>25.683</c:v>
                </c:pt>
                <c:pt idx="18">
                  <c:v>63.3</c:v>
                </c:pt>
                <c:pt idx="21">
                  <c:v>21</c:v>
                </c:pt>
                <c:pt idx="28">
                  <c:v>618.5</c:v>
                </c:pt>
                <c:pt idx="32">
                  <c:v>114.66</c:v>
                </c:pt>
                <c:pt idx="36">
                  <c:v>312.55</c:v>
                </c:pt>
                <c:pt idx="40">
                  <c:v>60.92</c:v>
                </c:pt>
                <c:pt idx="41">
                  <c:v>349.23</c:v>
                </c:pt>
                <c:pt idx="42">
                  <c:v>4.0999999999999996</c:v>
                </c:pt>
                <c:pt idx="49">
                  <c:v>6.3</c:v>
                </c:pt>
                <c:pt idx="54">
                  <c:v>30</c:v>
                </c:pt>
                <c:pt idx="56">
                  <c:v>43.75</c:v>
                </c:pt>
                <c:pt idx="57">
                  <c:v>49.643599999999999</c:v>
                </c:pt>
                <c:pt idx="62">
                  <c:v>213.6</c:v>
                </c:pt>
                <c:pt idx="70">
                  <c:v>23.725000000000001</c:v>
                </c:pt>
                <c:pt idx="72">
                  <c:v>1054</c:v>
                </c:pt>
                <c:pt idx="79">
                  <c:v>48.7</c:v>
                </c:pt>
                <c:pt idx="82">
                  <c:v>47.548299999999998</c:v>
                </c:pt>
                <c:pt idx="83">
                  <c:v>58.4</c:v>
                </c:pt>
                <c:pt idx="85">
                  <c:v>170.1</c:v>
                </c:pt>
                <c:pt idx="87">
                  <c:v>248.8</c:v>
                </c:pt>
                <c:pt idx="89">
                  <c:v>138.59800000000001</c:v>
                </c:pt>
                <c:pt idx="91">
                  <c:v>64.122</c:v>
                </c:pt>
                <c:pt idx="93">
                  <c:v>15.4489</c:v>
                </c:pt>
                <c:pt idx="94">
                  <c:v>307.8</c:v>
                </c:pt>
                <c:pt idx="101">
                  <c:v>9.66</c:v>
                </c:pt>
                <c:pt idx="102">
                  <c:v>263.02999999999997</c:v>
                </c:pt>
                <c:pt idx="103">
                  <c:v>110.2</c:v>
                </c:pt>
                <c:pt idx="107">
                  <c:v>19.042999999999999</c:v>
                </c:pt>
                <c:pt idx="109">
                  <c:v>80.7</c:v>
                </c:pt>
              </c:numCache>
            </c:numRef>
          </c:yVal>
          <c:smooth val="0"/>
          <c:extLst>
            <c:ext xmlns:c16="http://schemas.microsoft.com/office/drawing/2014/chart" uri="{C3380CC4-5D6E-409C-BE32-E72D297353CC}">
              <c16:uniqueId val="{00000000-05D8-7D4B-B653-BA9E68C03FE6}"/>
            </c:ext>
          </c:extLst>
        </c:ser>
        <c:ser>
          <c:idx val="1"/>
          <c:order val="1"/>
          <c:tx>
            <c:v>Elevated</c:v>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0.16201403273950218"/>
                  <c:y val="-0.2111948555683773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2"/>
                        </a:solidFill>
                      </a:rPr>
                      <a:t>y = 4E+06x - 11.087</a:t>
                    </a:r>
                    <a:br>
                      <a:rPr lang="en-US" sz="1400" baseline="0">
                        <a:solidFill>
                          <a:schemeClr val="accent2"/>
                        </a:solidFill>
                      </a:rPr>
                    </a:br>
                    <a:r>
                      <a:rPr lang="en-US" sz="1400" baseline="0">
                        <a:solidFill>
                          <a:schemeClr val="accent2"/>
                        </a:solidFill>
                      </a:rPr>
                      <a:t>R² = 0.0226</a:t>
                    </a:r>
                    <a:endParaRPr lang="en-US" sz="1400">
                      <a:solidFill>
                        <a:schemeClr val="accent2"/>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Sheet'!$W$2:$W$114</c:f>
              <c:numCache>
                <c:formatCode>General</c:formatCode>
                <c:ptCount val="113"/>
                <c:pt idx="2">
                  <c:v>2.15E-3</c:v>
                </c:pt>
                <c:pt idx="16">
                  <c:v>2.9889999999999999E-3</c:v>
                </c:pt>
                <c:pt idx="17">
                  <c:v>2.5999999999999999E-3</c:v>
                </c:pt>
                <c:pt idx="18">
                  <c:v>1.665E-3</c:v>
                </c:pt>
                <c:pt idx="19">
                  <c:v>1.116E-3</c:v>
                </c:pt>
                <c:pt idx="20">
                  <c:v>1.116E-3</c:v>
                </c:pt>
                <c:pt idx="21">
                  <c:v>1.116E-3</c:v>
                </c:pt>
                <c:pt idx="28">
                  <c:v>1.6069999999999999E-3</c:v>
                </c:pt>
                <c:pt idx="29">
                  <c:v>1.6069999999999999E-3</c:v>
                </c:pt>
                <c:pt idx="30">
                  <c:v>6.143E-3</c:v>
                </c:pt>
                <c:pt idx="31">
                  <c:v>6.143E-3</c:v>
                </c:pt>
                <c:pt idx="34">
                  <c:v>8.8400000000000002E-4</c:v>
                </c:pt>
                <c:pt idx="35">
                  <c:v>5.5199999999999997E-4</c:v>
                </c:pt>
                <c:pt idx="38">
                  <c:v>1.4E-3</c:v>
                </c:pt>
                <c:pt idx="39">
                  <c:v>1.4E-3</c:v>
                </c:pt>
                <c:pt idx="40">
                  <c:v>2.1559999999999999E-3</c:v>
                </c:pt>
                <c:pt idx="41">
                  <c:v>3.333E-3</c:v>
                </c:pt>
                <c:pt idx="43">
                  <c:v>1.562E-3</c:v>
                </c:pt>
                <c:pt idx="44">
                  <c:v>1.678E-3</c:v>
                </c:pt>
                <c:pt idx="51">
                  <c:v>1.1709999999999999E-3</c:v>
                </c:pt>
                <c:pt idx="52">
                  <c:v>1.1709999999999999E-3</c:v>
                </c:pt>
                <c:pt idx="53">
                  <c:v>1.1709999999999999E-3</c:v>
                </c:pt>
                <c:pt idx="54">
                  <c:v>1.1709999999999999E-3</c:v>
                </c:pt>
                <c:pt idx="55">
                  <c:v>1.1709999999999999E-3</c:v>
                </c:pt>
                <c:pt idx="57">
                  <c:v>6.3599999999999996E-4</c:v>
                </c:pt>
                <c:pt idx="58">
                  <c:v>6.3599999999999996E-4</c:v>
                </c:pt>
                <c:pt idx="60">
                  <c:v>8.1499999999999997E-4</c:v>
                </c:pt>
                <c:pt idx="62">
                  <c:v>2.47E-3</c:v>
                </c:pt>
                <c:pt idx="63">
                  <c:v>2.47E-3</c:v>
                </c:pt>
                <c:pt idx="68">
                  <c:v>7.9799999999999992E-3</c:v>
                </c:pt>
                <c:pt idx="69">
                  <c:v>4.1840000000000002E-3</c:v>
                </c:pt>
                <c:pt idx="70">
                  <c:v>8.7399999999999999E-4</c:v>
                </c:pt>
                <c:pt idx="71">
                  <c:v>8.7399999999999999E-4</c:v>
                </c:pt>
                <c:pt idx="72">
                  <c:v>4.1840000000000002E-3</c:v>
                </c:pt>
                <c:pt idx="75">
                  <c:v>8.9999999999999998E-4</c:v>
                </c:pt>
                <c:pt idx="76">
                  <c:v>3.7729999999999999E-3</c:v>
                </c:pt>
                <c:pt idx="77">
                  <c:v>2.0079999999999998E-3</c:v>
                </c:pt>
                <c:pt idx="79">
                  <c:v>7.0299999999999996E-4</c:v>
                </c:pt>
                <c:pt idx="80">
                  <c:v>7.0299999999999996E-4</c:v>
                </c:pt>
                <c:pt idx="81">
                  <c:v>6.3769999999999999E-3</c:v>
                </c:pt>
                <c:pt idx="89">
                  <c:v>4.7999999999999996E-3</c:v>
                </c:pt>
                <c:pt idx="90">
                  <c:v>1.9959999999999999E-3</c:v>
                </c:pt>
                <c:pt idx="93">
                  <c:v>9.6500000000000004E-4</c:v>
                </c:pt>
                <c:pt idx="94">
                  <c:v>1.238E-3</c:v>
                </c:pt>
                <c:pt idx="95">
                  <c:v>9.7099999999999997E-4</c:v>
                </c:pt>
                <c:pt idx="96">
                  <c:v>9.7099999999999997E-4</c:v>
                </c:pt>
                <c:pt idx="97">
                  <c:v>1.6180000000000001E-3</c:v>
                </c:pt>
                <c:pt idx="98">
                  <c:v>1.0683E-2</c:v>
                </c:pt>
                <c:pt idx="99">
                  <c:v>1.408E-3</c:v>
                </c:pt>
                <c:pt idx="100">
                  <c:v>1.408E-3</c:v>
                </c:pt>
                <c:pt idx="103">
                  <c:v>2.0339999999999998E-3</c:v>
                </c:pt>
                <c:pt idx="104">
                  <c:v>2.0339999999999998E-3</c:v>
                </c:pt>
                <c:pt idx="106">
                  <c:v>1.01E-3</c:v>
                </c:pt>
                <c:pt idx="111">
                  <c:v>2.1289999999999998E-3</c:v>
                </c:pt>
                <c:pt idx="112">
                  <c:v>2.9979999999999998E-3</c:v>
                </c:pt>
              </c:numCache>
            </c:numRef>
          </c:xVal>
          <c:yVal>
            <c:numRef>
              <c:f>'Main Data Sheet'!$K$2:$K$113</c:f>
              <c:numCache>
                <c:formatCode>General</c:formatCode>
                <c:ptCount val="112"/>
                <c:pt idx="6">
                  <c:v>40</c:v>
                </c:pt>
                <c:pt idx="7">
                  <c:v>188.5</c:v>
                </c:pt>
                <c:pt idx="11">
                  <c:v>80.245000000000005</c:v>
                </c:pt>
                <c:pt idx="12">
                  <c:v>1940</c:v>
                </c:pt>
                <c:pt idx="16">
                  <c:v>209.113</c:v>
                </c:pt>
                <c:pt idx="17">
                  <c:v>11.76</c:v>
                </c:pt>
                <c:pt idx="21">
                  <c:v>37</c:v>
                </c:pt>
                <c:pt idx="28">
                  <c:v>1850.3</c:v>
                </c:pt>
                <c:pt idx="32">
                  <c:v>179.49199999999999</c:v>
                </c:pt>
                <c:pt idx="36">
                  <c:v>969.85</c:v>
                </c:pt>
                <c:pt idx="40">
                  <c:v>459</c:v>
                </c:pt>
                <c:pt idx="42">
                  <c:v>28.3</c:v>
                </c:pt>
                <c:pt idx="49">
                  <c:v>19.2</c:v>
                </c:pt>
                <c:pt idx="54">
                  <c:v>115</c:v>
                </c:pt>
                <c:pt idx="56">
                  <c:v>744.95</c:v>
                </c:pt>
                <c:pt idx="62">
                  <c:v>384.6</c:v>
                </c:pt>
                <c:pt idx="70">
                  <c:v>49.3</c:v>
                </c:pt>
                <c:pt idx="72" formatCode="#,##0">
                  <c:v>11130</c:v>
                </c:pt>
                <c:pt idx="79">
                  <c:v>1428.8</c:v>
                </c:pt>
                <c:pt idx="82">
                  <c:v>65.816100000000006</c:v>
                </c:pt>
                <c:pt idx="83">
                  <c:v>104.2</c:v>
                </c:pt>
                <c:pt idx="85">
                  <c:v>324.60000000000002</c:v>
                </c:pt>
                <c:pt idx="87">
                  <c:v>1100.7</c:v>
                </c:pt>
                <c:pt idx="89">
                  <c:v>272.02499999999998</c:v>
                </c:pt>
                <c:pt idx="91">
                  <c:v>14.9099</c:v>
                </c:pt>
                <c:pt idx="93">
                  <c:v>24.7638</c:v>
                </c:pt>
                <c:pt idx="94">
                  <c:v>820.9</c:v>
                </c:pt>
                <c:pt idx="101">
                  <c:v>35.28</c:v>
                </c:pt>
                <c:pt idx="102">
                  <c:v>416.87</c:v>
                </c:pt>
                <c:pt idx="103">
                  <c:v>614.1</c:v>
                </c:pt>
                <c:pt idx="107">
                  <c:v>112.455</c:v>
                </c:pt>
                <c:pt idx="109">
                  <c:v>369.6</c:v>
                </c:pt>
              </c:numCache>
            </c:numRef>
          </c:yVal>
          <c:smooth val="0"/>
          <c:extLst>
            <c:ext xmlns:c16="http://schemas.microsoft.com/office/drawing/2014/chart" uri="{C3380CC4-5D6E-409C-BE32-E72D297353CC}">
              <c16:uniqueId val="{00000001-05D8-7D4B-B653-BA9E68C03FE6}"/>
            </c:ext>
          </c:extLst>
        </c:ser>
        <c:dLbls>
          <c:showLegendKey val="0"/>
          <c:showVal val="0"/>
          <c:showCatName val="0"/>
          <c:showSerName val="0"/>
          <c:showPercent val="0"/>
          <c:showBubbleSize val="0"/>
        </c:dLbls>
        <c:axId val="320647503"/>
        <c:axId val="507314319"/>
      </c:scatterChart>
      <c:valAx>
        <c:axId val="320647503"/>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Metabolic</a:t>
                </a:r>
                <a:r>
                  <a:rPr lang="en-US" baseline="0"/>
                  <a:t> Rate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14319"/>
        <c:crosses val="autoZero"/>
        <c:crossBetween val="midCat"/>
      </c:valAx>
      <c:valAx>
        <c:axId val="507314319"/>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Cortisol</a:t>
                </a:r>
                <a:r>
                  <a:rPr lang="en-US" baseline="0"/>
                  <a:t> Concentrations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6475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Corticosterone</a:t>
            </a:r>
            <a:r>
              <a:rPr lang="en-US" baseline="0"/>
              <a:t> (Elevated and Basal) vs. Metabolic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Basal</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10568754490523186"/>
                  <c:y val="0.10226249046847766"/>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1"/>
                        </a:solidFill>
                      </a:rPr>
                      <a:t>y = 82522x</a:t>
                    </a:r>
                    <a:r>
                      <a:rPr lang="en-US" sz="1400" baseline="30000">
                        <a:solidFill>
                          <a:schemeClr val="accent1"/>
                        </a:solidFill>
                      </a:rPr>
                      <a:t>1.0262</a:t>
                    </a:r>
                    <a:br>
                      <a:rPr lang="en-US" sz="1400" baseline="0">
                        <a:solidFill>
                          <a:schemeClr val="accent1"/>
                        </a:solidFill>
                      </a:rPr>
                    </a:br>
                    <a:r>
                      <a:rPr lang="en-US" sz="1400" baseline="0">
                        <a:solidFill>
                          <a:schemeClr val="accent1"/>
                        </a:solidFill>
                      </a:rPr>
                      <a:t>R² = 0.5336</a:t>
                    </a:r>
                    <a:endParaRPr lang="en-US" sz="1400">
                      <a:solidFill>
                        <a:schemeClr val="accent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Sheet'!$W$2:$W$114</c:f>
              <c:numCache>
                <c:formatCode>General</c:formatCode>
                <c:ptCount val="113"/>
                <c:pt idx="2">
                  <c:v>2.15E-3</c:v>
                </c:pt>
                <c:pt idx="16">
                  <c:v>2.9889999999999999E-3</c:v>
                </c:pt>
                <c:pt idx="17">
                  <c:v>2.5999999999999999E-3</c:v>
                </c:pt>
                <c:pt idx="18">
                  <c:v>1.665E-3</c:v>
                </c:pt>
                <c:pt idx="19">
                  <c:v>1.116E-3</c:v>
                </c:pt>
                <c:pt idx="20">
                  <c:v>1.116E-3</c:v>
                </c:pt>
                <c:pt idx="21">
                  <c:v>1.116E-3</c:v>
                </c:pt>
                <c:pt idx="28">
                  <c:v>1.6069999999999999E-3</c:v>
                </c:pt>
                <c:pt idx="29">
                  <c:v>1.6069999999999999E-3</c:v>
                </c:pt>
                <c:pt idx="30">
                  <c:v>6.143E-3</c:v>
                </c:pt>
                <c:pt idx="31">
                  <c:v>6.143E-3</c:v>
                </c:pt>
                <c:pt idx="34">
                  <c:v>8.8400000000000002E-4</c:v>
                </c:pt>
                <c:pt idx="35">
                  <c:v>5.5199999999999997E-4</c:v>
                </c:pt>
                <c:pt idx="38">
                  <c:v>1.4E-3</c:v>
                </c:pt>
                <c:pt idx="39">
                  <c:v>1.4E-3</c:v>
                </c:pt>
                <c:pt idx="40">
                  <c:v>2.1559999999999999E-3</c:v>
                </c:pt>
                <c:pt idx="41">
                  <c:v>3.333E-3</c:v>
                </c:pt>
                <c:pt idx="43">
                  <c:v>1.562E-3</c:v>
                </c:pt>
                <c:pt idx="44">
                  <c:v>1.678E-3</c:v>
                </c:pt>
                <c:pt idx="51">
                  <c:v>1.1709999999999999E-3</c:v>
                </c:pt>
                <c:pt idx="52">
                  <c:v>1.1709999999999999E-3</c:v>
                </c:pt>
                <c:pt idx="53">
                  <c:v>1.1709999999999999E-3</c:v>
                </c:pt>
                <c:pt idx="54">
                  <c:v>1.1709999999999999E-3</c:v>
                </c:pt>
                <c:pt idx="55">
                  <c:v>1.1709999999999999E-3</c:v>
                </c:pt>
                <c:pt idx="57">
                  <c:v>6.3599999999999996E-4</c:v>
                </c:pt>
                <c:pt idx="58">
                  <c:v>6.3599999999999996E-4</c:v>
                </c:pt>
                <c:pt idx="60">
                  <c:v>8.1499999999999997E-4</c:v>
                </c:pt>
                <c:pt idx="62">
                  <c:v>2.47E-3</c:v>
                </c:pt>
                <c:pt idx="63">
                  <c:v>2.47E-3</c:v>
                </c:pt>
                <c:pt idx="68">
                  <c:v>7.9799999999999992E-3</c:v>
                </c:pt>
                <c:pt idx="69">
                  <c:v>4.1840000000000002E-3</c:v>
                </c:pt>
                <c:pt idx="70">
                  <c:v>8.7399999999999999E-4</c:v>
                </c:pt>
                <c:pt idx="71">
                  <c:v>8.7399999999999999E-4</c:v>
                </c:pt>
                <c:pt idx="72">
                  <c:v>4.1840000000000002E-3</c:v>
                </c:pt>
                <c:pt idx="75">
                  <c:v>8.9999999999999998E-4</c:v>
                </c:pt>
                <c:pt idx="76">
                  <c:v>3.7729999999999999E-3</c:v>
                </c:pt>
                <c:pt idx="77">
                  <c:v>2.0079999999999998E-3</c:v>
                </c:pt>
                <c:pt idx="79">
                  <c:v>7.0299999999999996E-4</c:v>
                </c:pt>
                <c:pt idx="80">
                  <c:v>7.0299999999999996E-4</c:v>
                </c:pt>
                <c:pt idx="81">
                  <c:v>6.3769999999999999E-3</c:v>
                </c:pt>
                <c:pt idx="89">
                  <c:v>4.7999999999999996E-3</c:v>
                </c:pt>
                <c:pt idx="90">
                  <c:v>1.9959999999999999E-3</c:v>
                </c:pt>
                <c:pt idx="93">
                  <c:v>9.6500000000000004E-4</c:v>
                </c:pt>
                <c:pt idx="94">
                  <c:v>1.238E-3</c:v>
                </c:pt>
                <c:pt idx="95">
                  <c:v>9.7099999999999997E-4</c:v>
                </c:pt>
                <c:pt idx="96">
                  <c:v>9.7099999999999997E-4</c:v>
                </c:pt>
                <c:pt idx="97">
                  <c:v>1.6180000000000001E-3</c:v>
                </c:pt>
                <c:pt idx="98">
                  <c:v>1.0683E-2</c:v>
                </c:pt>
                <c:pt idx="99">
                  <c:v>1.408E-3</c:v>
                </c:pt>
                <c:pt idx="100">
                  <c:v>1.408E-3</c:v>
                </c:pt>
                <c:pt idx="103">
                  <c:v>2.0339999999999998E-3</c:v>
                </c:pt>
                <c:pt idx="104">
                  <c:v>2.0339999999999998E-3</c:v>
                </c:pt>
                <c:pt idx="106">
                  <c:v>1.01E-3</c:v>
                </c:pt>
                <c:pt idx="111">
                  <c:v>2.1289999999999998E-3</c:v>
                </c:pt>
                <c:pt idx="112">
                  <c:v>2.9979999999999998E-3</c:v>
                </c:pt>
              </c:numCache>
            </c:numRef>
          </c:xVal>
          <c:yVal>
            <c:numRef>
              <c:f>'Main Data Sheet'!$J$2:$J$114</c:f>
              <c:numCache>
                <c:formatCode>General</c:formatCode>
                <c:ptCount val="113"/>
                <c:pt idx="5">
                  <c:v>60</c:v>
                </c:pt>
                <c:pt idx="10">
                  <c:v>26.667000000000002</c:v>
                </c:pt>
                <c:pt idx="15">
                  <c:v>90</c:v>
                </c:pt>
                <c:pt idx="29">
                  <c:v>232.9</c:v>
                </c:pt>
                <c:pt idx="37">
                  <c:v>215.8</c:v>
                </c:pt>
                <c:pt idx="42">
                  <c:v>8.6</c:v>
                </c:pt>
                <c:pt idx="50">
                  <c:v>102.75</c:v>
                </c:pt>
                <c:pt idx="55">
                  <c:v>640</c:v>
                </c:pt>
                <c:pt idx="61">
                  <c:v>16.2</c:v>
                </c:pt>
                <c:pt idx="63">
                  <c:v>354.7</c:v>
                </c:pt>
                <c:pt idx="64">
                  <c:v>1743.1</c:v>
                </c:pt>
                <c:pt idx="68">
                  <c:v>2842.33</c:v>
                </c:pt>
                <c:pt idx="69">
                  <c:v>1711.28</c:v>
                </c:pt>
                <c:pt idx="71">
                  <c:v>64.758300000000006</c:v>
                </c:pt>
                <c:pt idx="77">
                  <c:v>132</c:v>
                </c:pt>
                <c:pt idx="80">
                  <c:v>64.099999999999994</c:v>
                </c:pt>
                <c:pt idx="84">
                  <c:v>1030</c:v>
                </c:pt>
                <c:pt idx="86">
                  <c:v>101.9</c:v>
                </c:pt>
                <c:pt idx="88">
                  <c:v>302.2</c:v>
                </c:pt>
                <c:pt idx="92">
                  <c:v>104.312</c:v>
                </c:pt>
                <c:pt idx="98">
                  <c:v>1436.55</c:v>
                </c:pt>
                <c:pt idx="104">
                  <c:v>175</c:v>
                </c:pt>
                <c:pt idx="110">
                  <c:v>45.1</c:v>
                </c:pt>
              </c:numCache>
            </c:numRef>
          </c:yVal>
          <c:smooth val="0"/>
          <c:extLst>
            <c:ext xmlns:c16="http://schemas.microsoft.com/office/drawing/2014/chart" uri="{C3380CC4-5D6E-409C-BE32-E72D297353CC}">
              <c16:uniqueId val="{00000000-BCD8-4940-BDED-10BD47AD4E3A}"/>
            </c:ext>
          </c:extLst>
        </c:ser>
        <c:ser>
          <c:idx val="1"/>
          <c:order val="1"/>
          <c:tx>
            <c:v>Elevated</c:v>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0.2319130935964242"/>
                  <c:y val="-0.10965217460483566"/>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2"/>
                        </a:solidFill>
                      </a:rPr>
                      <a:t>y = 4672.9x</a:t>
                    </a:r>
                    <a:r>
                      <a:rPr lang="en-US" sz="1400" baseline="30000">
                        <a:solidFill>
                          <a:schemeClr val="accent2"/>
                        </a:solidFill>
                      </a:rPr>
                      <a:t>0.2886</a:t>
                    </a:r>
                    <a:br>
                      <a:rPr lang="en-US" sz="1400" baseline="0">
                        <a:solidFill>
                          <a:schemeClr val="accent2"/>
                        </a:solidFill>
                      </a:rPr>
                    </a:br>
                    <a:r>
                      <a:rPr lang="en-US" sz="1400" baseline="0">
                        <a:solidFill>
                          <a:schemeClr val="accent2"/>
                        </a:solidFill>
                      </a:rPr>
                      <a:t>R² = 0.0094</a:t>
                    </a:r>
                    <a:endParaRPr lang="en-US" sz="1400">
                      <a:solidFill>
                        <a:schemeClr val="accent2"/>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Sheet'!$W$2:$W$114</c:f>
              <c:numCache>
                <c:formatCode>General</c:formatCode>
                <c:ptCount val="113"/>
                <c:pt idx="2">
                  <c:v>2.15E-3</c:v>
                </c:pt>
                <c:pt idx="16">
                  <c:v>2.9889999999999999E-3</c:v>
                </c:pt>
                <c:pt idx="17">
                  <c:v>2.5999999999999999E-3</c:v>
                </c:pt>
                <c:pt idx="18">
                  <c:v>1.665E-3</c:v>
                </c:pt>
                <c:pt idx="19">
                  <c:v>1.116E-3</c:v>
                </c:pt>
                <c:pt idx="20">
                  <c:v>1.116E-3</c:v>
                </c:pt>
                <c:pt idx="21">
                  <c:v>1.116E-3</c:v>
                </c:pt>
                <c:pt idx="28">
                  <c:v>1.6069999999999999E-3</c:v>
                </c:pt>
                <c:pt idx="29">
                  <c:v>1.6069999999999999E-3</c:v>
                </c:pt>
                <c:pt idx="30">
                  <c:v>6.143E-3</c:v>
                </c:pt>
                <c:pt idx="31">
                  <c:v>6.143E-3</c:v>
                </c:pt>
                <c:pt idx="34">
                  <c:v>8.8400000000000002E-4</c:v>
                </c:pt>
                <c:pt idx="35">
                  <c:v>5.5199999999999997E-4</c:v>
                </c:pt>
                <c:pt idx="38">
                  <c:v>1.4E-3</c:v>
                </c:pt>
                <c:pt idx="39">
                  <c:v>1.4E-3</c:v>
                </c:pt>
                <c:pt idx="40">
                  <c:v>2.1559999999999999E-3</c:v>
                </c:pt>
                <c:pt idx="41">
                  <c:v>3.333E-3</c:v>
                </c:pt>
                <c:pt idx="43">
                  <c:v>1.562E-3</c:v>
                </c:pt>
                <c:pt idx="44">
                  <c:v>1.678E-3</c:v>
                </c:pt>
                <c:pt idx="51">
                  <c:v>1.1709999999999999E-3</c:v>
                </c:pt>
                <c:pt idx="52">
                  <c:v>1.1709999999999999E-3</c:v>
                </c:pt>
                <c:pt idx="53">
                  <c:v>1.1709999999999999E-3</c:v>
                </c:pt>
                <c:pt idx="54">
                  <c:v>1.1709999999999999E-3</c:v>
                </c:pt>
                <c:pt idx="55">
                  <c:v>1.1709999999999999E-3</c:v>
                </c:pt>
                <c:pt idx="57">
                  <c:v>6.3599999999999996E-4</c:v>
                </c:pt>
                <c:pt idx="58">
                  <c:v>6.3599999999999996E-4</c:v>
                </c:pt>
                <c:pt idx="60">
                  <c:v>8.1499999999999997E-4</c:v>
                </c:pt>
                <c:pt idx="62">
                  <c:v>2.47E-3</c:v>
                </c:pt>
                <c:pt idx="63">
                  <c:v>2.47E-3</c:v>
                </c:pt>
                <c:pt idx="68">
                  <c:v>7.9799999999999992E-3</c:v>
                </c:pt>
                <c:pt idx="69">
                  <c:v>4.1840000000000002E-3</c:v>
                </c:pt>
                <c:pt idx="70">
                  <c:v>8.7399999999999999E-4</c:v>
                </c:pt>
                <c:pt idx="71">
                  <c:v>8.7399999999999999E-4</c:v>
                </c:pt>
                <c:pt idx="72">
                  <c:v>4.1840000000000002E-3</c:v>
                </c:pt>
                <c:pt idx="75">
                  <c:v>8.9999999999999998E-4</c:v>
                </c:pt>
                <c:pt idx="76">
                  <c:v>3.7729999999999999E-3</c:v>
                </c:pt>
                <c:pt idx="77">
                  <c:v>2.0079999999999998E-3</c:v>
                </c:pt>
                <c:pt idx="79">
                  <c:v>7.0299999999999996E-4</c:v>
                </c:pt>
                <c:pt idx="80">
                  <c:v>7.0299999999999996E-4</c:v>
                </c:pt>
                <c:pt idx="81">
                  <c:v>6.3769999999999999E-3</c:v>
                </c:pt>
                <c:pt idx="89">
                  <c:v>4.7999999999999996E-3</c:v>
                </c:pt>
                <c:pt idx="90">
                  <c:v>1.9959999999999999E-3</c:v>
                </c:pt>
                <c:pt idx="93">
                  <c:v>9.6500000000000004E-4</c:v>
                </c:pt>
                <c:pt idx="94">
                  <c:v>1.238E-3</c:v>
                </c:pt>
                <c:pt idx="95">
                  <c:v>9.7099999999999997E-4</c:v>
                </c:pt>
                <c:pt idx="96">
                  <c:v>9.7099999999999997E-4</c:v>
                </c:pt>
                <c:pt idx="97">
                  <c:v>1.6180000000000001E-3</c:v>
                </c:pt>
                <c:pt idx="98">
                  <c:v>1.0683E-2</c:v>
                </c:pt>
                <c:pt idx="99">
                  <c:v>1.408E-3</c:v>
                </c:pt>
                <c:pt idx="100">
                  <c:v>1.408E-3</c:v>
                </c:pt>
                <c:pt idx="103">
                  <c:v>2.0339999999999998E-3</c:v>
                </c:pt>
                <c:pt idx="104">
                  <c:v>2.0339999999999998E-3</c:v>
                </c:pt>
                <c:pt idx="106">
                  <c:v>1.01E-3</c:v>
                </c:pt>
                <c:pt idx="111">
                  <c:v>2.1289999999999998E-3</c:v>
                </c:pt>
                <c:pt idx="112">
                  <c:v>2.9979999999999998E-3</c:v>
                </c:pt>
              </c:numCache>
            </c:numRef>
          </c:xVal>
          <c:yVal>
            <c:numRef>
              <c:f>'Main Data Sheet'!$L$2:$L$114</c:f>
              <c:numCache>
                <c:formatCode>General</c:formatCode>
                <c:ptCount val="113"/>
                <c:pt idx="5">
                  <c:v>140</c:v>
                </c:pt>
                <c:pt idx="10">
                  <c:v>749.5</c:v>
                </c:pt>
                <c:pt idx="15">
                  <c:v>870</c:v>
                </c:pt>
                <c:pt idx="29">
                  <c:v>3578</c:v>
                </c:pt>
                <c:pt idx="37">
                  <c:v>684.8</c:v>
                </c:pt>
                <c:pt idx="42">
                  <c:v>27.2</c:v>
                </c:pt>
                <c:pt idx="50">
                  <c:v>283.89999999999998</c:v>
                </c:pt>
                <c:pt idx="55">
                  <c:v>1320</c:v>
                </c:pt>
                <c:pt idx="61">
                  <c:v>25.1</c:v>
                </c:pt>
                <c:pt idx="63">
                  <c:v>544.5</c:v>
                </c:pt>
                <c:pt idx="71">
                  <c:v>178.8</c:v>
                </c:pt>
                <c:pt idx="77">
                  <c:v>4417</c:v>
                </c:pt>
                <c:pt idx="80">
                  <c:v>666.5</c:v>
                </c:pt>
                <c:pt idx="84">
                  <c:v>2120</c:v>
                </c:pt>
                <c:pt idx="86">
                  <c:v>174.7</c:v>
                </c:pt>
                <c:pt idx="88">
                  <c:v>1621.8</c:v>
                </c:pt>
                <c:pt idx="92">
                  <c:v>59.786999999999999</c:v>
                </c:pt>
                <c:pt idx="98">
                  <c:v>2368.4699999999998</c:v>
                </c:pt>
                <c:pt idx="104">
                  <c:v>2672.8</c:v>
                </c:pt>
                <c:pt idx="110">
                  <c:v>212.8</c:v>
                </c:pt>
              </c:numCache>
            </c:numRef>
          </c:yVal>
          <c:smooth val="0"/>
          <c:extLst>
            <c:ext xmlns:c16="http://schemas.microsoft.com/office/drawing/2014/chart" uri="{C3380CC4-5D6E-409C-BE32-E72D297353CC}">
              <c16:uniqueId val="{00000001-BCD8-4940-BDED-10BD47AD4E3A}"/>
            </c:ext>
          </c:extLst>
        </c:ser>
        <c:dLbls>
          <c:showLegendKey val="0"/>
          <c:showVal val="0"/>
          <c:showCatName val="0"/>
          <c:showSerName val="0"/>
          <c:showPercent val="0"/>
          <c:showBubbleSize val="0"/>
        </c:dLbls>
        <c:axId val="507306527"/>
        <c:axId val="506988559"/>
      </c:scatterChart>
      <c:valAx>
        <c:axId val="507306527"/>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Metabolic</a:t>
                </a:r>
                <a:r>
                  <a:rPr lang="en-US" baseline="0"/>
                  <a:t> Rate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988559"/>
        <c:crosses val="autoZero"/>
        <c:crossBetween val="midCat"/>
      </c:valAx>
      <c:valAx>
        <c:axId val="506988559"/>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Corticosterone</a:t>
                </a:r>
                <a:r>
                  <a:rPr lang="en-US" baseline="0"/>
                  <a:t> Concentrations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065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Lifespan vs. Cortisol</a:t>
            </a:r>
            <a:r>
              <a:rPr lang="en-US" baseline="0"/>
              <a:t> (Elevated and Basal)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Basal</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2886579177730515"/>
                  <c:y val="0.1245925146477955"/>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1"/>
                        </a:solidFill>
                      </a:rPr>
                      <a:t>y = 39.039x</a:t>
                    </a:r>
                    <a:r>
                      <a:rPr lang="en-US" sz="1400" baseline="30000">
                        <a:solidFill>
                          <a:schemeClr val="accent1"/>
                        </a:solidFill>
                      </a:rPr>
                      <a:t>-0.063</a:t>
                    </a:r>
                    <a:br>
                      <a:rPr lang="en-US" sz="1400" baseline="0">
                        <a:solidFill>
                          <a:schemeClr val="accent1"/>
                        </a:solidFill>
                      </a:rPr>
                    </a:br>
                    <a:r>
                      <a:rPr lang="en-US" sz="1400" baseline="0">
                        <a:solidFill>
                          <a:schemeClr val="accent1"/>
                        </a:solidFill>
                      </a:rPr>
                      <a:t>R² = 0.0531</a:t>
                    </a:r>
                    <a:endParaRPr lang="en-US" sz="1400">
                      <a:solidFill>
                        <a:schemeClr val="accent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Sheet'!$I$2:$I$114</c:f>
              <c:numCache>
                <c:formatCode>General</c:formatCode>
                <c:ptCount val="113"/>
                <c:pt idx="6">
                  <c:v>20</c:v>
                </c:pt>
                <c:pt idx="7">
                  <c:v>33</c:v>
                </c:pt>
                <c:pt idx="11">
                  <c:v>51.505000000000003</c:v>
                </c:pt>
                <c:pt idx="12">
                  <c:v>420</c:v>
                </c:pt>
                <c:pt idx="16">
                  <c:v>25.683</c:v>
                </c:pt>
                <c:pt idx="18">
                  <c:v>63.3</c:v>
                </c:pt>
                <c:pt idx="21">
                  <c:v>21</c:v>
                </c:pt>
                <c:pt idx="28">
                  <c:v>618.5</c:v>
                </c:pt>
                <c:pt idx="32">
                  <c:v>114.66</c:v>
                </c:pt>
                <c:pt idx="36">
                  <c:v>312.55</c:v>
                </c:pt>
                <c:pt idx="40">
                  <c:v>60.92</c:v>
                </c:pt>
                <c:pt idx="41">
                  <c:v>349.23</c:v>
                </c:pt>
                <c:pt idx="42">
                  <c:v>4.0999999999999996</c:v>
                </c:pt>
                <c:pt idx="49">
                  <c:v>6.3</c:v>
                </c:pt>
                <c:pt idx="54">
                  <c:v>30</c:v>
                </c:pt>
                <c:pt idx="56">
                  <c:v>43.75</c:v>
                </c:pt>
                <c:pt idx="57">
                  <c:v>49.643599999999999</c:v>
                </c:pt>
                <c:pt idx="62">
                  <c:v>213.6</c:v>
                </c:pt>
                <c:pt idx="70">
                  <c:v>23.725000000000001</c:v>
                </c:pt>
                <c:pt idx="72">
                  <c:v>1054</c:v>
                </c:pt>
                <c:pt idx="79">
                  <c:v>48.7</c:v>
                </c:pt>
                <c:pt idx="82">
                  <c:v>47.548299999999998</c:v>
                </c:pt>
                <c:pt idx="83">
                  <c:v>58.4</c:v>
                </c:pt>
                <c:pt idx="85">
                  <c:v>170.1</c:v>
                </c:pt>
                <c:pt idx="87">
                  <c:v>248.8</c:v>
                </c:pt>
                <c:pt idx="89">
                  <c:v>138.59800000000001</c:v>
                </c:pt>
                <c:pt idx="91">
                  <c:v>64.122</c:v>
                </c:pt>
                <c:pt idx="93">
                  <c:v>15.4489</c:v>
                </c:pt>
                <c:pt idx="94">
                  <c:v>307.8</c:v>
                </c:pt>
                <c:pt idx="101">
                  <c:v>9.66</c:v>
                </c:pt>
                <c:pt idx="102">
                  <c:v>263.02999999999997</c:v>
                </c:pt>
                <c:pt idx="103">
                  <c:v>110.2</c:v>
                </c:pt>
                <c:pt idx="107">
                  <c:v>19.042999999999999</c:v>
                </c:pt>
                <c:pt idx="109">
                  <c:v>80.7</c:v>
                </c:pt>
              </c:numCache>
            </c:numRef>
          </c:xVal>
          <c:yVal>
            <c:numRef>
              <c:f>'Main Data Sheet'!$U$2:$U$115</c:f>
              <c:numCache>
                <c:formatCode>General</c:formatCode>
                <c:ptCount val="114"/>
                <c:pt idx="0">
                  <c:v>67</c:v>
                </c:pt>
                <c:pt idx="1">
                  <c:v>32.799999999999997</c:v>
                </c:pt>
                <c:pt idx="2">
                  <c:v>51.6</c:v>
                </c:pt>
                <c:pt idx="3">
                  <c:v>60.1</c:v>
                </c:pt>
                <c:pt idx="4">
                  <c:v>60.1</c:v>
                </c:pt>
                <c:pt idx="5">
                  <c:v>60.1</c:v>
                </c:pt>
                <c:pt idx="6">
                  <c:v>60.1</c:v>
                </c:pt>
                <c:pt idx="7">
                  <c:v>38</c:v>
                </c:pt>
                <c:pt idx="8">
                  <c:v>38</c:v>
                </c:pt>
                <c:pt idx="9">
                  <c:v>38</c:v>
                </c:pt>
                <c:pt idx="10">
                  <c:v>38</c:v>
                </c:pt>
                <c:pt idx="11">
                  <c:v>28.4</c:v>
                </c:pt>
                <c:pt idx="12">
                  <c:v>18.2</c:v>
                </c:pt>
                <c:pt idx="13">
                  <c:v>18.2</c:v>
                </c:pt>
                <c:pt idx="14">
                  <c:v>18.2</c:v>
                </c:pt>
                <c:pt idx="15">
                  <c:v>18.2</c:v>
                </c:pt>
                <c:pt idx="16">
                  <c:v>20</c:v>
                </c:pt>
                <c:pt idx="17">
                  <c:v>68</c:v>
                </c:pt>
                <c:pt idx="18">
                  <c:v>37.5</c:v>
                </c:pt>
                <c:pt idx="19">
                  <c:v>31</c:v>
                </c:pt>
                <c:pt idx="20">
                  <c:v>31</c:v>
                </c:pt>
                <c:pt idx="21">
                  <c:v>31</c:v>
                </c:pt>
                <c:pt idx="28">
                  <c:v>20.5</c:v>
                </c:pt>
                <c:pt idx="29">
                  <c:v>20.5</c:v>
                </c:pt>
                <c:pt idx="30">
                  <c:v>5.9</c:v>
                </c:pt>
                <c:pt idx="31">
                  <c:v>5.9</c:v>
                </c:pt>
                <c:pt idx="32">
                  <c:v>36.799999999999997</c:v>
                </c:pt>
                <c:pt idx="33">
                  <c:v>13.7</c:v>
                </c:pt>
                <c:pt idx="34">
                  <c:v>20</c:v>
                </c:pt>
                <c:pt idx="35">
                  <c:v>28.4</c:v>
                </c:pt>
                <c:pt idx="38">
                  <c:v>20.8</c:v>
                </c:pt>
                <c:pt idx="39">
                  <c:v>20.8</c:v>
                </c:pt>
                <c:pt idx="40">
                  <c:v>17.5</c:v>
                </c:pt>
                <c:pt idx="41">
                  <c:v>12</c:v>
                </c:pt>
                <c:pt idx="42">
                  <c:v>45</c:v>
                </c:pt>
                <c:pt idx="43">
                  <c:v>12.7</c:v>
                </c:pt>
                <c:pt idx="44">
                  <c:v>31.5</c:v>
                </c:pt>
                <c:pt idx="45">
                  <c:v>42.3</c:v>
                </c:pt>
                <c:pt idx="46">
                  <c:v>42.3</c:v>
                </c:pt>
                <c:pt idx="47">
                  <c:v>42.3</c:v>
                </c:pt>
                <c:pt idx="48">
                  <c:v>42.3</c:v>
                </c:pt>
                <c:pt idx="49">
                  <c:v>42.3</c:v>
                </c:pt>
                <c:pt idx="50">
                  <c:v>42.3</c:v>
                </c:pt>
                <c:pt idx="51">
                  <c:v>24.3</c:v>
                </c:pt>
                <c:pt idx="52">
                  <c:v>24.3</c:v>
                </c:pt>
                <c:pt idx="53">
                  <c:v>24.3</c:v>
                </c:pt>
                <c:pt idx="54">
                  <c:v>24.3</c:v>
                </c:pt>
                <c:pt idx="55">
                  <c:v>24.3</c:v>
                </c:pt>
                <c:pt idx="56">
                  <c:v>41.1</c:v>
                </c:pt>
                <c:pt idx="57">
                  <c:v>79.599999999999994</c:v>
                </c:pt>
                <c:pt idx="58">
                  <c:v>79.599999999999994</c:v>
                </c:pt>
                <c:pt idx="60">
                  <c:v>57</c:v>
                </c:pt>
                <c:pt idx="61">
                  <c:v>31</c:v>
                </c:pt>
                <c:pt idx="62">
                  <c:v>30</c:v>
                </c:pt>
                <c:pt idx="63">
                  <c:v>30</c:v>
                </c:pt>
                <c:pt idx="68">
                  <c:v>5.9</c:v>
                </c:pt>
                <c:pt idx="69">
                  <c:v>8.1999999999999993</c:v>
                </c:pt>
                <c:pt idx="70">
                  <c:v>39.5</c:v>
                </c:pt>
                <c:pt idx="71">
                  <c:v>39.5</c:v>
                </c:pt>
                <c:pt idx="75">
                  <c:v>65</c:v>
                </c:pt>
                <c:pt idx="76">
                  <c:v>17</c:v>
                </c:pt>
                <c:pt idx="77">
                  <c:v>21.2</c:v>
                </c:pt>
                <c:pt idx="78">
                  <c:v>14.8</c:v>
                </c:pt>
                <c:pt idx="79">
                  <c:v>33.299999999999997</c:v>
                </c:pt>
                <c:pt idx="80">
                  <c:v>33.299999999999997</c:v>
                </c:pt>
                <c:pt idx="81">
                  <c:v>3.9</c:v>
                </c:pt>
                <c:pt idx="82" formatCode="#,##0">
                  <c:v>20</c:v>
                </c:pt>
                <c:pt idx="83">
                  <c:v>17.399999999999999</c:v>
                </c:pt>
                <c:pt idx="84">
                  <c:v>17.399999999999999</c:v>
                </c:pt>
                <c:pt idx="85">
                  <c:v>9.4</c:v>
                </c:pt>
                <c:pt idx="86">
                  <c:v>9.4</c:v>
                </c:pt>
                <c:pt idx="87">
                  <c:v>19.8</c:v>
                </c:pt>
                <c:pt idx="88">
                  <c:v>19.8</c:v>
                </c:pt>
                <c:pt idx="89">
                  <c:v>14</c:v>
                </c:pt>
                <c:pt idx="90">
                  <c:v>23</c:v>
                </c:pt>
                <c:pt idx="91">
                  <c:v>27.4</c:v>
                </c:pt>
                <c:pt idx="92">
                  <c:v>27.4</c:v>
                </c:pt>
                <c:pt idx="93">
                  <c:v>28</c:v>
                </c:pt>
                <c:pt idx="94">
                  <c:v>28</c:v>
                </c:pt>
                <c:pt idx="95">
                  <c:v>26.3</c:v>
                </c:pt>
                <c:pt idx="96">
                  <c:v>26.3</c:v>
                </c:pt>
                <c:pt idx="97">
                  <c:v>31.5</c:v>
                </c:pt>
                <c:pt idx="98">
                  <c:v>8.3000000000000007</c:v>
                </c:pt>
                <c:pt idx="99">
                  <c:v>21.8</c:v>
                </c:pt>
                <c:pt idx="100">
                  <c:v>21.8</c:v>
                </c:pt>
                <c:pt idx="101">
                  <c:v>43.5</c:v>
                </c:pt>
                <c:pt idx="103">
                  <c:v>20.6</c:v>
                </c:pt>
                <c:pt idx="104">
                  <c:v>20.6</c:v>
                </c:pt>
                <c:pt idx="105">
                  <c:v>32.799999999999997</c:v>
                </c:pt>
                <c:pt idx="106">
                  <c:v>36.799999999999997</c:v>
                </c:pt>
                <c:pt idx="107">
                  <c:v>40</c:v>
                </c:pt>
                <c:pt idx="108">
                  <c:v>43.8</c:v>
                </c:pt>
                <c:pt idx="109">
                  <c:v>39.200000000000003</c:v>
                </c:pt>
                <c:pt idx="110">
                  <c:v>39.200000000000003</c:v>
                </c:pt>
                <c:pt idx="111">
                  <c:v>16.3</c:v>
                </c:pt>
                <c:pt idx="112">
                  <c:v>21.3</c:v>
                </c:pt>
              </c:numCache>
            </c:numRef>
          </c:yVal>
          <c:smooth val="0"/>
          <c:extLst>
            <c:ext xmlns:c16="http://schemas.microsoft.com/office/drawing/2014/chart" uri="{C3380CC4-5D6E-409C-BE32-E72D297353CC}">
              <c16:uniqueId val="{00000000-55C4-BD42-A30F-A9017433B5C7}"/>
            </c:ext>
          </c:extLst>
        </c:ser>
        <c:ser>
          <c:idx val="1"/>
          <c:order val="1"/>
          <c:tx>
            <c:v>Elevated</c:v>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1.6472395797996264E-2"/>
                  <c:y val="0.24161523739446811"/>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2"/>
                        </a:solidFill>
                      </a:rPr>
                      <a:t>y = 33.335x</a:t>
                    </a:r>
                    <a:r>
                      <a:rPr lang="en-US" sz="1400" baseline="30000">
                        <a:solidFill>
                          <a:schemeClr val="accent2"/>
                        </a:solidFill>
                      </a:rPr>
                      <a:t>-0.019</a:t>
                    </a:r>
                    <a:br>
                      <a:rPr lang="en-US" sz="1400" baseline="0">
                        <a:solidFill>
                          <a:schemeClr val="accent2"/>
                        </a:solidFill>
                      </a:rPr>
                    </a:br>
                    <a:r>
                      <a:rPr lang="en-US" sz="1400" baseline="0">
                        <a:solidFill>
                          <a:schemeClr val="accent2"/>
                        </a:solidFill>
                      </a:rPr>
                      <a:t>R² = 0.0087</a:t>
                    </a:r>
                    <a:endParaRPr lang="en-US" sz="1400">
                      <a:solidFill>
                        <a:schemeClr val="accent2"/>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Sheet'!$K$2:$K$114</c:f>
              <c:numCache>
                <c:formatCode>General</c:formatCode>
                <c:ptCount val="113"/>
                <c:pt idx="6">
                  <c:v>40</c:v>
                </c:pt>
                <c:pt idx="7">
                  <c:v>188.5</c:v>
                </c:pt>
                <c:pt idx="11">
                  <c:v>80.245000000000005</c:v>
                </c:pt>
                <c:pt idx="12">
                  <c:v>1940</c:v>
                </c:pt>
                <c:pt idx="16">
                  <c:v>209.113</c:v>
                </c:pt>
                <c:pt idx="17">
                  <c:v>11.76</c:v>
                </c:pt>
                <c:pt idx="21">
                  <c:v>37</c:v>
                </c:pt>
                <c:pt idx="28">
                  <c:v>1850.3</c:v>
                </c:pt>
                <c:pt idx="32">
                  <c:v>179.49199999999999</c:v>
                </c:pt>
                <c:pt idx="36">
                  <c:v>969.85</c:v>
                </c:pt>
                <c:pt idx="40">
                  <c:v>459</c:v>
                </c:pt>
                <c:pt idx="42">
                  <c:v>28.3</c:v>
                </c:pt>
                <c:pt idx="49">
                  <c:v>19.2</c:v>
                </c:pt>
                <c:pt idx="54">
                  <c:v>115</c:v>
                </c:pt>
                <c:pt idx="56">
                  <c:v>744.95</c:v>
                </c:pt>
                <c:pt idx="62">
                  <c:v>384.6</c:v>
                </c:pt>
                <c:pt idx="70">
                  <c:v>49.3</c:v>
                </c:pt>
                <c:pt idx="72" formatCode="#,##0">
                  <c:v>11130</c:v>
                </c:pt>
                <c:pt idx="79">
                  <c:v>1428.8</c:v>
                </c:pt>
                <c:pt idx="82">
                  <c:v>65.816100000000006</c:v>
                </c:pt>
                <c:pt idx="83">
                  <c:v>104.2</c:v>
                </c:pt>
                <c:pt idx="85">
                  <c:v>324.60000000000002</c:v>
                </c:pt>
                <c:pt idx="87">
                  <c:v>1100.7</c:v>
                </c:pt>
                <c:pt idx="89">
                  <c:v>272.02499999999998</c:v>
                </c:pt>
                <c:pt idx="91">
                  <c:v>14.9099</c:v>
                </c:pt>
                <c:pt idx="93">
                  <c:v>24.7638</c:v>
                </c:pt>
                <c:pt idx="94">
                  <c:v>820.9</c:v>
                </c:pt>
                <c:pt idx="101">
                  <c:v>35.28</c:v>
                </c:pt>
                <c:pt idx="102">
                  <c:v>416.87</c:v>
                </c:pt>
                <c:pt idx="103">
                  <c:v>614.1</c:v>
                </c:pt>
                <c:pt idx="107">
                  <c:v>112.455</c:v>
                </c:pt>
                <c:pt idx="109">
                  <c:v>369.6</c:v>
                </c:pt>
              </c:numCache>
            </c:numRef>
          </c:xVal>
          <c:yVal>
            <c:numRef>
              <c:f>'Main Data Sheet'!$U$2:$U$115</c:f>
              <c:numCache>
                <c:formatCode>General</c:formatCode>
                <c:ptCount val="114"/>
                <c:pt idx="0">
                  <c:v>67</c:v>
                </c:pt>
                <c:pt idx="1">
                  <c:v>32.799999999999997</c:v>
                </c:pt>
                <c:pt idx="2">
                  <c:v>51.6</c:v>
                </c:pt>
                <c:pt idx="3">
                  <c:v>60.1</c:v>
                </c:pt>
                <c:pt idx="4">
                  <c:v>60.1</c:v>
                </c:pt>
                <c:pt idx="5">
                  <c:v>60.1</c:v>
                </c:pt>
                <c:pt idx="6">
                  <c:v>60.1</c:v>
                </c:pt>
                <c:pt idx="7">
                  <c:v>38</c:v>
                </c:pt>
                <c:pt idx="8">
                  <c:v>38</c:v>
                </c:pt>
                <c:pt idx="9">
                  <c:v>38</c:v>
                </c:pt>
                <c:pt idx="10">
                  <c:v>38</c:v>
                </c:pt>
                <c:pt idx="11">
                  <c:v>28.4</c:v>
                </c:pt>
                <c:pt idx="12">
                  <c:v>18.2</c:v>
                </c:pt>
                <c:pt idx="13">
                  <c:v>18.2</c:v>
                </c:pt>
                <c:pt idx="14">
                  <c:v>18.2</c:v>
                </c:pt>
                <c:pt idx="15">
                  <c:v>18.2</c:v>
                </c:pt>
                <c:pt idx="16">
                  <c:v>20</c:v>
                </c:pt>
                <c:pt idx="17">
                  <c:v>68</c:v>
                </c:pt>
                <c:pt idx="18">
                  <c:v>37.5</c:v>
                </c:pt>
                <c:pt idx="19">
                  <c:v>31</c:v>
                </c:pt>
                <c:pt idx="20">
                  <c:v>31</c:v>
                </c:pt>
                <c:pt idx="21">
                  <c:v>31</c:v>
                </c:pt>
                <c:pt idx="28">
                  <c:v>20.5</c:v>
                </c:pt>
                <c:pt idx="29">
                  <c:v>20.5</c:v>
                </c:pt>
                <c:pt idx="30">
                  <c:v>5.9</c:v>
                </c:pt>
                <c:pt idx="31">
                  <c:v>5.9</c:v>
                </c:pt>
                <c:pt idx="32">
                  <c:v>36.799999999999997</c:v>
                </c:pt>
                <c:pt idx="33">
                  <c:v>13.7</c:v>
                </c:pt>
                <c:pt idx="34">
                  <c:v>20</c:v>
                </c:pt>
                <c:pt idx="35">
                  <c:v>28.4</c:v>
                </c:pt>
                <c:pt idx="38">
                  <c:v>20.8</c:v>
                </c:pt>
                <c:pt idx="39">
                  <c:v>20.8</c:v>
                </c:pt>
                <c:pt idx="40">
                  <c:v>17.5</c:v>
                </c:pt>
                <c:pt idx="41">
                  <c:v>12</c:v>
                </c:pt>
                <c:pt idx="42">
                  <c:v>45</c:v>
                </c:pt>
                <c:pt idx="43">
                  <c:v>12.7</c:v>
                </c:pt>
                <c:pt idx="44">
                  <c:v>31.5</c:v>
                </c:pt>
                <c:pt idx="45">
                  <c:v>42.3</c:v>
                </c:pt>
                <c:pt idx="46">
                  <c:v>42.3</c:v>
                </c:pt>
                <c:pt idx="47">
                  <c:v>42.3</c:v>
                </c:pt>
                <c:pt idx="48">
                  <c:v>42.3</c:v>
                </c:pt>
                <c:pt idx="49">
                  <c:v>42.3</c:v>
                </c:pt>
                <c:pt idx="50">
                  <c:v>42.3</c:v>
                </c:pt>
                <c:pt idx="51">
                  <c:v>24.3</c:v>
                </c:pt>
                <c:pt idx="52">
                  <c:v>24.3</c:v>
                </c:pt>
                <c:pt idx="53">
                  <c:v>24.3</c:v>
                </c:pt>
                <c:pt idx="54">
                  <c:v>24.3</c:v>
                </c:pt>
                <c:pt idx="55">
                  <c:v>24.3</c:v>
                </c:pt>
                <c:pt idx="56">
                  <c:v>41.1</c:v>
                </c:pt>
                <c:pt idx="57">
                  <c:v>79.599999999999994</c:v>
                </c:pt>
                <c:pt idx="58">
                  <c:v>79.599999999999994</c:v>
                </c:pt>
                <c:pt idx="60">
                  <c:v>57</c:v>
                </c:pt>
                <c:pt idx="61">
                  <c:v>31</c:v>
                </c:pt>
                <c:pt idx="62">
                  <c:v>30</c:v>
                </c:pt>
                <c:pt idx="63">
                  <c:v>30</c:v>
                </c:pt>
                <c:pt idx="68">
                  <c:v>5.9</c:v>
                </c:pt>
                <c:pt idx="69">
                  <c:v>8.1999999999999993</c:v>
                </c:pt>
                <c:pt idx="70">
                  <c:v>39.5</c:v>
                </c:pt>
                <c:pt idx="71">
                  <c:v>39.5</c:v>
                </c:pt>
                <c:pt idx="75">
                  <c:v>65</c:v>
                </c:pt>
                <c:pt idx="76">
                  <c:v>17</c:v>
                </c:pt>
                <c:pt idx="77">
                  <c:v>21.2</c:v>
                </c:pt>
                <c:pt idx="78">
                  <c:v>14.8</c:v>
                </c:pt>
                <c:pt idx="79">
                  <c:v>33.299999999999997</c:v>
                </c:pt>
                <c:pt idx="80">
                  <c:v>33.299999999999997</c:v>
                </c:pt>
                <c:pt idx="81">
                  <c:v>3.9</c:v>
                </c:pt>
                <c:pt idx="82" formatCode="#,##0">
                  <c:v>20</c:v>
                </c:pt>
                <c:pt idx="83">
                  <c:v>17.399999999999999</c:v>
                </c:pt>
                <c:pt idx="84">
                  <c:v>17.399999999999999</c:v>
                </c:pt>
                <c:pt idx="85">
                  <c:v>9.4</c:v>
                </c:pt>
                <c:pt idx="86">
                  <c:v>9.4</c:v>
                </c:pt>
                <c:pt idx="87">
                  <c:v>19.8</c:v>
                </c:pt>
                <c:pt idx="88">
                  <c:v>19.8</c:v>
                </c:pt>
                <c:pt idx="89">
                  <c:v>14</c:v>
                </c:pt>
                <c:pt idx="90">
                  <c:v>23</c:v>
                </c:pt>
                <c:pt idx="91">
                  <c:v>27.4</c:v>
                </c:pt>
                <c:pt idx="92">
                  <c:v>27.4</c:v>
                </c:pt>
                <c:pt idx="93">
                  <c:v>28</c:v>
                </c:pt>
                <c:pt idx="94">
                  <c:v>28</c:v>
                </c:pt>
                <c:pt idx="95">
                  <c:v>26.3</c:v>
                </c:pt>
                <c:pt idx="96">
                  <c:v>26.3</c:v>
                </c:pt>
                <c:pt idx="97">
                  <c:v>31.5</c:v>
                </c:pt>
                <c:pt idx="98">
                  <c:v>8.3000000000000007</c:v>
                </c:pt>
                <c:pt idx="99">
                  <c:v>21.8</c:v>
                </c:pt>
                <c:pt idx="100">
                  <c:v>21.8</c:v>
                </c:pt>
                <c:pt idx="101">
                  <c:v>43.5</c:v>
                </c:pt>
                <c:pt idx="103">
                  <c:v>20.6</c:v>
                </c:pt>
                <c:pt idx="104">
                  <c:v>20.6</c:v>
                </c:pt>
                <c:pt idx="105">
                  <c:v>32.799999999999997</c:v>
                </c:pt>
                <c:pt idx="106">
                  <c:v>36.799999999999997</c:v>
                </c:pt>
                <c:pt idx="107">
                  <c:v>40</c:v>
                </c:pt>
                <c:pt idx="108">
                  <c:v>43.8</c:v>
                </c:pt>
                <c:pt idx="109">
                  <c:v>39.200000000000003</c:v>
                </c:pt>
                <c:pt idx="110">
                  <c:v>39.200000000000003</c:v>
                </c:pt>
                <c:pt idx="111">
                  <c:v>16.3</c:v>
                </c:pt>
                <c:pt idx="112">
                  <c:v>21.3</c:v>
                </c:pt>
              </c:numCache>
            </c:numRef>
          </c:yVal>
          <c:smooth val="0"/>
          <c:extLst>
            <c:ext xmlns:c16="http://schemas.microsoft.com/office/drawing/2014/chart" uri="{C3380CC4-5D6E-409C-BE32-E72D297353CC}">
              <c16:uniqueId val="{00000001-55C4-BD42-A30F-A9017433B5C7}"/>
            </c:ext>
          </c:extLst>
        </c:ser>
        <c:dLbls>
          <c:showLegendKey val="0"/>
          <c:showVal val="0"/>
          <c:showCatName val="0"/>
          <c:showSerName val="0"/>
          <c:showPercent val="0"/>
          <c:showBubbleSize val="0"/>
        </c:dLbls>
        <c:axId val="341031343"/>
        <c:axId val="511872975"/>
      </c:scatterChart>
      <c:valAx>
        <c:axId val="341031343"/>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Cortisol</a:t>
                </a:r>
                <a:r>
                  <a:rPr lang="en-US" baseline="0"/>
                  <a:t> Concentrations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72975"/>
        <c:crosses val="autoZero"/>
        <c:crossBetween val="midCat"/>
      </c:valAx>
      <c:valAx>
        <c:axId val="511872975"/>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Lifespan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03134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Lifespan</a:t>
            </a:r>
            <a:r>
              <a:rPr lang="en-US" baseline="0"/>
              <a:t> vs. Corticosterone (Elevated and Basal)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Basal</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25890486301571852"/>
                  <c:y val="0.16116434315470976"/>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1"/>
                        </a:solidFill>
                      </a:rPr>
                      <a:t>y = 48.912x</a:t>
                    </a:r>
                    <a:r>
                      <a:rPr lang="en-US" sz="1400" baseline="30000">
                        <a:solidFill>
                          <a:schemeClr val="accent1"/>
                        </a:solidFill>
                      </a:rPr>
                      <a:t>-0.152</a:t>
                    </a:r>
                    <a:br>
                      <a:rPr lang="en-US" sz="1400" baseline="0">
                        <a:solidFill>
                          <a:schemeClr val="accent1"/>
                        </a:solidFill>
                      </a:rPr>
                    </a:br>
                    <a:r>
                      <a:rPr lang="en-US" sz="1400" baseline="0">
                        <a:solidFill>
                          <a:schemeClr val="accent1"/>
                        </a:solidFill>
                      </a:rPr>
                      <a:t>R² = 0.111</a:t>
                    </a:r>
                    <a:endParaRPr lang="en-US" sz="1400">
                      <a:solidFill>
                        <a:schemeClr val="accent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Sheet'!$J$2:$J$114</c:f>
              <c:numCache>
                <c:formatCode>General</c:formatCode>
                <c:ptCount val="113"/>
                <c:pt idx="5">
                  <c:v>60</c:v>
                </c:pt>
                <c:pt idx="10">
                  <c:v>26.667000000000002</c:v>
                </c:pt>
                <c:pt idx="15">
                  <c:v>90</c:v>
                </c:pt>
                <c:pt idx="29">
                  <c:v>232.9</c:v>
                </c:pt>
                <c:pt idx="37">
                  <c:v>215.8</c:v>
                </c:pt>
                <c:pt idx="42">
                  <c:v>8.6</c:v>
                </c:pt>
                <c:pt idx="50">
                  <c:v>102.75</c:v>
                </c:pt>
                <c:pt idx="55">
                  <c:v>640</c:v>
                </c:pt>
                <c:pt idx="61">
                  <c:v>16.2</c:v>
                </c:pt>
                <c:pt idx="63">
                  <c:v>354.7</c:v>
                </c:pt>
                <c:pt idx="64">
                  <c:v>1743.1</c:v>
                </c:pt>
                <c:pt idx="68">
                  <c:v>2842.33</c:v>
                </c:pt>
                <c:pt idx="69">
                  <c:v>1711.28</c:v>
                </c:pt>
                <c:pt idx="71">
                  <c:v>64.758300000000006</c:v>
                </c:pt>
                <c:pt idx="77">
                  <c:v>132</c:v>
                </c:pt>
                <c:pt idx="80">
                  <c:v>64.099999999999994</c:v>
                </c:pt>
                <c:pt idx="84">
                  <c:v>1030</c:v>
                </c:pt>
                <c:pt idx="86">
                  <c:v>101.9</c:v>
                </c:pt>
                <c:pt idx="88">
                  <c:v>302.2</c:v>
                </c:pt>
                <c:pt idx="92">
                  <c:v>104.312</c:v>
                </c:pt>
                <c:pt idx="98">
                  <c:v>1436.55</c:v>
                </c:pt>
                <c:pt idx="104">
                  <c:v>175</c:v>
                </c:pt>
                <c:pt idx="110">
                  <c:v>45.1</c:v>
                </c:pt>
              </c:numCache>
            </c:numRef>
          </c:xVal>
          <c:yVal>
            <c:numRef>
              <c:f>'Main Data Sheet'!$U$2:$U$115</c:f>
              <c:numCache>
                <c:formatCode>General</c:formatCode>
                <c:ptCount val="114"/>
                <c:pt idx="0">
                  <c:v>67</c:v>
                </c:pt>
                <c:pt idx="1">
                  <c:v>32.799999999999997</c:v>
                </c:pt>
                <c:pt idx="2">
                  <c:v>51.6</c:v>
                </c:pt>
                <c:pt idx="3">
                  <c:v>60.1</c:v>
                </c:pt>
                <c:pt idx="4">
                  <c:v>60.1</c:v>
                </c:pt>
                <c:pt idx="5">
                  <c:v>60.1</c:v>
                </c:pt>
                <c:pt idx="6">
                  <c:v>60.1</c:v>
                </c:pt>
                <c:pt idx="7">
                  <c:v>38</c:v>
                </c:pt>
                <c:pt idx="8">
                  <c:v>38</c:v>
                </c:pt>
                <c:pt idx="9">
                  <c:v>38</c:v>
                </c:pt>
                <c:pt idx="10">
                  <c:v>38</c:v>
                </c:pt>
                <c:pt idx="11">
                  <c:v>28.4</c:v>
                </c:pt>
                <c:pt idx="12">
                  <c:v>18.2</c:v>
                </c:pt>
                <c:pt idx="13">
                  <c:v>18.2</c:v>
                </c:pt>
                <c:pt idx="14">
                  <c:v>18.2</c:v>
                </c:pt>
                <c:pt idx="15">
                  <c:v>18.2</c:v>
                </c:pt>
                <c:pt idx="16">
                  <c:v>20</c:v>
                </c:pt>
                <c:pt idx="17">
                  <c:v>68</c:v>
                </c:pt>
                <c:pt idx="18">
                  <c:v>37.5</c:v>
                </c:pt>
                <c:pt idx="19">
                  <c:v>31</c:v>
                </c:pt>
                <c:pt idx="20">
                  <c:v>31</c:v>
                </c:pt>
                <c:pt idx="21">
                  <c:v>31</c:v>
                </c:pt>
                <c:pt idx="28">
                  <c:v>20.5</c:v>
                </c:pt>
                <c:pt idx="29">
                  <c:v>20.5</c:v>
                </c:pt>
                <c:pt idx="30">
                  <c:v>5.9</c:v>
                </c:pt>
                <c:pt idx="31">
                  <c:v>5.9</c:v>
                </c:pt>
                <c:pt idx="32">
                  <c:v>36.799999999999997</c:v>
                </c:pt>
                <c:pt idx="33">
                  <c:v>13.7</c:v>
                </c:pt>
                <c:pt idx="34">
                  <c:v>20</c:v>
                </c:pt>
                <c:pt idx="35">
                  <c:v>28.4</c:v>
                </c:pt>
                <c:pt idx="38">
                  <c:v>20.8</c:v>
                </c:pt>
                <c:pt idx="39">
                  <c:v>20.8</c:v>
                </c:pt>
                <c:pt idx="40">
                  <c:v>17.5</c:v>
                </c:pt>
                <c:pt idx="41">
                  <c:v>12</c:v>
                </c:pt>
                <c:pt idx="42">
                  <c:v>45</c:v>
                </c:pt>
                <c:pt idx="43">
                  <c:v>12.7</c:v>
                </c:pt>
                <c:pt idx="44">
                  <c:v>31.5</c:v>
                </c:pt>
                <c:pt idx="45">
                  <c:v>42.3</c:v>
                </c:pt>
                <c:pt idx="46">
                  <c:v>42.3</c:v>
                </c:pt>
                <c:pt idx="47">
                  <c:v>42.3</c:v>
                </c:pt>
                <c:pt idx="48">
                  <c:v>42.3</c:v>
                </c:pt>
                <c:pt idx="49">
                  <c:v>42.3</c:v>
                </c:pt>
                <c:pt idx="50">
                  <c:v>42.3</c:v>
                </c:pt>
                <c:pt idx="51">
                  <c:v>24.3</c:v>
                </c:pt>
                <c:pt idx="52">
                  <c:v>24.3</c:v>
                </c:pt>
                <c:pt idx="53">
                  <c:v>24.3</c:v>
                </c:pt>
                <c:pt idx="54">
                  <c:v>24.3</c:v>
                </c:pt>
                <c:pt idx="55">
                  <c:v>24.3</c:v>
                </c:pt>
                <c:pt idx="56">
                  <c:v>41.1</c:v>
                </c:pt>
                <c:pt idx="57">
                  <c:v>79.599999999999994</c:v>
                </c:pt>
                <c:pt idx="58">
                  <c:v>79.599999999999994</c:v>
                </c:pt>
                <c:pt idx="60">
                  <c:v>57</c:v>
                </c:pt>
                <c:pt idx="61">
                  <c:v>31</c:v>
                </c:pt>
                <c:pt idx="62">
                  <c:v>30</c:v>
                </c:pt>
                <c:pt idx="63">
                  <c:v>30</c:v>
                </c:pt>
                <c:pt idx="68">
                  <c:v>5.9</c:v>
                </c:pt>
                <c:pt idx="69">
                  <c:v>8.1999999999999993</c:v>
                </c:pt>
                <c:pt idx="70">
                  <c:v>39.5</c:v>
                </c:pt>
                <c:pt idx="71">
                  <c:v>39.5</c:v>
                </c:pt>
                <c:pt idx="75">
                  <c:v>65</c:v>
                </c:pt>
                <c:pt idx="76">
                  <c:v>17</c:v>
                </c:pt>
                <c:pt idx="77">
                  <c:v>21.2</c:v>
                </c:pt>
                <c:pt idx="78">
                  <c:v>14.8</c:v>
                </c:pt>
                <c:pt idx="79">
                  <c:v>33.299999999999997</c:v>
                </c:pt>
                <c:pt idx="80">
                  <c:v>33.299999999999997</c:v>
                </c:pt>
                <c:pt idx="81">
                  <c:v>3.9</c:v>
                </c:pt>
                <c:pt idx="82" formatCode="#,##0">
                  <c:v>20</c:v>
                </c:pt>
                <c:pt idx="83">
                  <c:v>17.399999999999999</c:v>
                </c:pt>
                <c:pt idx="84">
                  <c:v>17.399999999999999</c:v>
                </c:pt>
                <c:pt idx="85">
                  <c:v>9.4</c:v>
                </c:pt>
                <c:pt idx="86">
                  <c:v>9.4</c:v>
                </c:pt>
                <c:pt idx="87">
                  <c:v>19.8</c:v>
                </c:pt>
                <c:pt idx="88">
                  <c:v>19.8</c:v>
                </c:pt>
                <c:pt idx="89">
                  <c:v>14</c:v>
                </c:pt>
                <c:pt idx="90">
                  <c:v>23</c:v>
                </c:pt>
                <c:pt idx="91">
                  <c:v>27.4</c:v>
                </c:pt>
                <c:pt idx="92">
                  <c:v>27.4</c:v>
                </c:pt>
                <c:pt idx="93">
                  <c:v>28</c:v>
                </c:pt>
                <c:pt idx="94">
                  <c:v>28</c:v>
                </c:pt>
                <c:pt idx="95">
                  <c:v>26.3</c:v>
                </c:pt>
                <c:pt idx="96">
                  <c:v>26.3</c:v>
                </c:pt>
                <c:pt idx="97">
                  <c:v>31.5</c:v>
                </c:pt>
                <c:pt idx="98">
                  <c:v>8.3000000000000007</c:v>
                </c:pt>
                <c:pt idx="99">
                  <c:v>21.8</c:v>
                </c:pt>
                <c:pt idx="100">
                  <c:v>21.8</c:v>
                </c:pt>
                <c:pt idx="101">
                  <c:v>43.5</c:v>
                </c:pt>
                <c:pt idx="103">
                  <c:v>20.6</c:v>
                </c:pt>
                <c:pt idx="104">
                  <c:v>20.6</c:v>
                </c:pt>
                <c:pt idx="105">
                  <c:v>32.799999999999997</c:v>
                </c:pt>
                <c:pt idx="106">
                  <c:v>36.799999999999997</c:v>
                </c:pt>
                <c:pt idx="107">
                  <c:v>40</c:v>
                </c:pt>
                <c:pt idx="108">
                  <c:v>43.8</c:v>
                </c:pt>
                <c:pt idx="109">
                  <c:v>39.200000000000003</c:v>
                </c:pt>
                <c:pt idx="110">
                  <c:v>39.200000000000003</c:v>
                </c:pt>
                <c:pt idx="111">
                  <c:v>16.3</c:v>
                </c:pt>
                <c:pt idx="112">
                  <c:v>21.3</c:v>
                </c:pt>
              </c:numCache>
            </c:numRef>
          </c:yVal>
          <c:smooth val="0"/>
          <c:extLst>
            <c:ext xmlns:c16="http://schemas.microsoft.com/office/drawing/2014/chart" uri="{C3380CC4-5D6E-409C-BE32-E72D297353CC}">
              <c16:uniqueId val="{00000000-342D-6B4D-B01A-5C6AA36D6C29}"/>
            </c:ext>
          </c:extLst>
        </c:ser>
        <c:ser>
          <c:idx val="1"/>
          <c:order val="1"/>
          <c:tx>
            <c:v>Elevated</c:v>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4.0766315727388008E-2"/>
                  <c:y val="-0.13027760577369918"/>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2"/>
                        </a:solidFill>
                      </a:rPr>
                      <a:t>y = 36.809x</a:t>
                    </a:r>
                    <a:r>
                      <a:rPr lang="en-US" sz="1400" baseline="30000">
                        <a:solidFill>
                          <a:schemeClr val="accent2"/>
                        </a:solidFill>
                      </a:rPr>
                      <a:t>-0.053</a:t>
                    </a:r>
                    <a:br>
                      <a:rPr lang="en-US" sz="1400" baseline="0">
                        <a:solidFill>
                          <a:schemeClr val="accent2"/>
                        </a:solidFill>
                      </a:rPr>
                    </a:br>
                    <a:r>
                      <a:rPr lang="en-US" sz="1400" baseline="0">
                        <a:solidFill>
                          <a:schemeClr val="accent2"/>
                        </a:solidFill>
                      </a:rPr>
                      <a:t>R² = 0.0509</a:t>
                    </a:r>
                    <a:endParaRPr lang="en-US" sz="1400">
                      <a:solidFill>
                        <a:schemeClr val="accent2"/>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Sheet'!$L$2:$L$114</c:f>
              <c:numCache>
                <c:formatCode>General</c:formatCode>
                <c:ptCount val="113"/>
                <c:pt idx="5">
                  <c:v>140</c:v>
                </c:pt>
                <c:pt idx="10">
                  <c:v>749.5</c:v>
                </c:pt>
                <c:pt idx="15">
                  <c:v>870</c:v>
                </c:pt>
                <c:pt idx="29">
                  <c:v>3578</c:v>
                </c:pt>
                <c:pt idx="37">
                  <c:v>684.8</c:v>
                </c:pt>
                <c:pt idx="42">
                  <c:v>27.2</c:v>
                </c:pt>
                <c:pt idx="50">
                  <c:v>283.89999999999998</c:v>
                </c:pt>
                <c:pt idx="55">
                  <c:v>1320</c:v>
                </c:pt>
                <c:pt idx="61">
                  <c:v>25.1</c:v>
                </c:pt>
                <c:pt idx="63">
                  <c:v>544.5</c:v>
                </c:pt>
                <c:pt idx="71">
                  <c:v>178.8</c:v>
                </c:pt>
                <c:pt idx="77">
                  <c:v>4417</c:v>
                </c:pt>
                <c:pt idx="80">
                  <c:v>666.5</c:v>
                </c:pt>
                <c:pt idx="84">
                  <c:v>2120</c:v>
                </c:pt>
                <c:pt idx="86">
                  <c:v>174.7</c:v>
                </c:pt>
                <c:pt idx="88">
                  <c:v>1621.8</c:v>
                </c:pt>
                <c:pt idx="92">
                  <c:v>59.786999999999999</c:v>
                </c:pt>
                <c:pt idx="98">
                  <c:v>2368.4699999999998</c:v>
                </c:pt>
                <c:pt idx="104">
                  <c:v>2672.8</c:v>
                </c:pt>
                <c:pt idx="110">
                  <c:v>212.8</c:v>
                </c:pt>
              </c:numCache>
            </c:numRef>
          </c:xVal>
          <c:yVal>
            <c:numRef>
              <c:f>'Main Data Sheet'!$U$2:$U$114</c:f>
              <c:numCache>
                <c:formatCode>General</c:formatCode>
                <c:ptCount val="113"/>
                <c:pt idx="0">
                  <c:v>67</c:v>
                </c:pt>
                <c:pt idx="1">
                  <c:v>32.799999999999997</c:v>
                </c:pt>
                <c:pt idx="2">
                  <c:v>51.6</c:v>
                </c:pt>
                <c:pt idx="3">
                  <c:v>60.1</c:v>
                </c:pt>
                <c:pt idx="4">
                  <c:v>60.1</c:v>
                </c:pt>
                <c:pt idx="5">
                  <c:v>60.1</c:v>
                </c:pt>
                <c:pt idx="6">
                  <c:v>60.1</c:v>
                </c:pt>
                <c:pt idx="7">
                  <c:v>38</c:v>
                </c:pt>
                <c:pt idx="8">
                  <c:v>38</c:v>
                </c:pt>
                <c:pt idx="9">
                  <c:v>38</c:v>
                </c:pt>
                <c:pt idx="10">
                  <c:v>38</c:v>
                </c:pt>
                <c:pt idx="11">
                  <c:v>28.4</c:v>
                </c:pt>
                <c:pt idx="12">
                  <c:v>18.2</c:v>
                </c:pt>
                <c:pt idx="13">
                  <c:v>18.2</c:v>
                </c:pt>
                <c:pt idx="14">
                  <c:v>18.2</c:v>
                </c:pt>
                <c:pt idx="15">
                  <c:v>18.2</c:v>
                </c:pt>
                <c:pt idx="16">
                  <c:v>20</c:v>
                </c:pt>
                <c:pt idx="17">
                  <c:v>68</c:v>
                </c:pt>
                <c:pt idx="18">
                  <c:v>37.5</c:v>
                </c:pt>
                <c:pt idx="19">
                  <c:v>31</c:v>
                </c:pt>
                <c:pt idx="20">
                  <c:v>31</c:v>
                </c:pt>
                <c:pt idx="21">
                  <c:v>31</c:v>
                </c:pt>
                <c:pt idx="28">
                  <c:v>20.5</c:v>
                </c:pt>
                <c:pt idx="29">
                  <c:v>20.5</c:v>
                </c:pt>
                <c:pt idx="30">
                  <c:v>5.9</c:v>
                </c:pt>
                <c:pt idx="31">
                  <c:v>5.9</c:v>
                </c:pt>
                <c:pt idx="32">
                  <c:v>36.799999999999997</c:v>
                </c:pt>
                <c:pt idx="33">
                  <c:v>13.7</c:v>
                </c:pt>
                <c:pt idx="34">
                  <c:v>20</c:v>
                </c:pt>
                <c:pt idx="35">
                  <c:v>28.4</c:v>
                </c:pt>
                <c:pt idx="38">
                  <c:v>20.8</c:v>
                </c:pt>
                <c:pt idx="39">
                  <c:v>20.8</c:v>
                </c:pt>
                <c:pt idx="40">
                  <c:v>17.5</c:v>
                </c:pt>
                <c:pt idx="41">
                  <c:v>12</c:v>
                </c:pt>
                <c:pt idx="42">
                  <c:v>45</c:v>
                </c:pt>
                <c:pt idx="43">
                  <c:v>12.7</c:v>
                </c:pt>
                <c:pt idx="44">
                  <c:v>31.5</c:v>
                </c:pt>
                <c:pt idx="45">
                  <c:v>42.3</c:v>
                </c:pt>
                <c:pt idx="46">
                  <c:v>42.3</c:v>
                </c:pt>
                <c:pt idx="47">
                  <c:v>42.3</c:v>
                </c:pt>
                <c:pt idx="48">
                  <c:v>42.3</c:v>
                </c:pt>
                <c:pt idx="49">
                  <c:v>42.3</c:v>
                </c:pt>
                <c:pt idx="50">
                  <c:v>42.3</c:v>
                </c:pt>
                <c:pt idx="51">
                  <c:v>24.3</c:v>
                </c:pt>
                <c:pt idx="52">
                  <c:v>24.3</c:v>
                </c:pt>
                <c:pt idx="53">
                  <c:v>24.3</c:v>
                </c:pt>
                <c:pt idx="54">
                  <c:v>24.3</c:v>
                </c:pt>
                <c:pt idx="55">
                  <c:v>24.3</c:v>
                </c:pt>
                <c:pt idx="56">
                  <c:v>41.1</c:v>
                </c:pt>
                <c:pt idx="57">
                  <c:v>79.599999999999994</c:v>
                </c:pt>
                <c:pt idx="58">
                  <c:v>79.599999999999994</c:v>
                </c:pt>
                <c:pt idx="60">
                  <c:v>57</c:v>
                </c:pt>
                <c:pt idx="61">
                  <c:v>31</c:v>
                </c:pt>
                <c:pt idx="62">
                  <c:v>30</c:v>
                </c:pt>
                <c:pt idx="63">
                  <c:v>30</c:v>
                </c:pt>
                <c:pt idx="68">
                  <c:v>5.9</c:v>
                </c:pt>
                <c:pt idx="69">
                  <c:v>8.1999999999999993</c:v>
                </c:pt>
                <c:pt idx="70">
                  <c:v>39.5</c:v>
                </c:pt>
                <c:pt idx="71">
                  <c:v>39.5</c:v>
                </c:pt>
                <c:pt idx="75">
                  <c:v>65</c:v>
                </c:pt>
                <c:pt idx="76">
                  <c:v>17</c:v>
                </c:pt>
                <c:pt idx="77">
                  <c:v>21.2</c:v>
                </c:pt>
                <c:pt idx="78">
                  <c:v>14.8</c:v>
                </c:pt>
                <c:pt idx="79">
                  <c:v>33.299999999999997</c:v>
                </c:pt>
                <c:pt idx="80">
                  <c:v>33.299999999999997</c:v>
                </c:pt>
                <c:pt idx="81">
                  <c:v>3.9</c:v>
                </c:pt>
                <c:pt idx="82" formatCode="#,##0">
                  <c:v>20</c:v>
                </c:pt>
                <c:pt idx="83">
                  <c:v>17.399999999999999</c:v>
                </c:pt>
                <c:pt idx="84">
                  <c:v>17.399999999999999</c:v>
                </c:pt>
                <c:pt idx="85">
                  <c:v>9.4</c:v>
                </c:pt>
                <c:pt idx="86">
                  <c:v>9.4</c:v>
                </c:pt>
                <c:pt idx="87">
                  <c:v>19.8</c:v>
                </c:pt>
                <c:pt idx="88">
                  <c:v>19.8</c:v>
                </c:pt>
                <c:pt idx="89">
                  <c:v>14</c:v>
                </c:pt>
                <c:pt idx="90">
                  <c:v>23</c:v>
                </c:pt>
                <c:pt idx="91">
                  <c:v>27.4</c:v>
                </c:pt>
                <c:pt idx="92">
                  <c:v>27.4</c:v>
                </c:pt>
                <c:pt idx="93">
                  <c:v>28</c:v>
                </c:pt>
                <c:pt idx="94">
                  <c:v>28</c:v>
                </c:pt>
                <c:pt idx="95">
                  <c:v>26.3</c:v>
                </c:pt>
                <c:pt idx="96">
                  <c:v>26.3</c:v>
                </c:pt>
                <c:pt idx="97">
                  <c:v>31.5</c:v>
                </c:pt>
                <c:pt idx="98">
                  <c:v>8.3000000000000007</c:v>
                </c:pt>
                <c:pt idx="99">
                  <c:v>21.8</c:v>
                </c:pt>
                <c:pt idx="100">
                  <c:v>21.8</c:v>
                </c:pt>
                <c:pt idx="101">
                  <c:v>43.5</c:v>
                </c:pt>
                <c:pt idx="103">
                  <c:v>20.6</c:v>
                </c:pt>
                <c:pt idx="104">
                  <c:v>20.6</c:v>
                </c:pt>
                <c:pt idx="105">
                  <c:v>32.799999999999997</c:v>
                </c:pt>
                <c:pt idx="106">
                  <c:v>36.799999999999997</c:v>
                </c:pt>
                <c:pt idx="107">
                  <c:v>40</c:v>
                </c:pt>
                <c:pt idx="108">
                  <c:v>43.8</c:v>
                </c:pt>
                <c:pt idx="109">
                  <c:v>39.200000000000003</c:v>
                </c:pt>
                <c:pt idx="110">
                  <c:v>39.200000000000003</c:v>
                </c:pt>
                <c:pt idx="111">
                  <c:v>16.3</c:v>
                </c:pt>
                <c:pt idx="112">
                  <c:v>21.3</c:v>
                </c:pt>
              </c:numCache>
            </c:numRef>
          </c:yVal>
          <c:smooth val="0"/>
          <c:extLst>
            <c:ext xmlns:c16="http://schemas.microsoft.com/office/drawing/2014/chart" uri="{C3380CC4-5D6E-409C-BE32-E72D297353CC}">
              <c16:uniqueId val="{00000001-342D-6B4D-B01A-5C6AA36D6C29}"/>
            </c:ext>
          </c:extLst>
        </c:ser>
        <c:dLbls>
          <c:showLegendKey val="0"/>
          <c:showVal val="0"/>
          <c:showCatName val="0"/>
          <c:showSerName val="0"/>
          <c:showPercent val="0"/>
          <c:showBubbleSize val="0"/>
        </c:dLbls>
        <c:axId val="503367855"/>
        <c:axId val="503401839"/>
      </c:scatterChart>
      <c:valAx>
        <c:axId val="503367855"/>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Corticosterone</a:t>
                </a:r>
                <a:r>
                  <a:rPr lang="en-US" baseline="0"/>
                  <a:t> Concentrations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01839"/>
        <c:crosses val="autoZero"/>
        <c:crossBetween val="midCat"/>
      </c:valAx>
      <c:valAx>
        <c:axId val="503401839"/>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Lifespan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3678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Basal Plasma</a:t>
            </a:r>
            <a:r>
              <a:rPr lang="en-US" baseline="0"/>
              <a:t> vs. Fecal Cortisol Concentrations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3.6465990644158411E-3"/>
                  <c:y val="-0.3428497145403994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t>y = 214.13x</a:t>
                    </a:r>
                    <a:r>
                      <a:rPr lang="en-US" sz="1400" baseline="30000"/>
                      <a:t>-0.315</a:t>
                    </a:r>
                    <a:br>
                      <a:rPr lang="en-US" sz="1400" baseline="0"/>
                    </a:br>
                    <a:r>
                      <a:rPr lang="en-US" sz="1400" baseline="0"/>
                      <a:t>R² = 0.3153</a:t>
                    </a:r>
                    <a:endParaRPr lang="en-US" sz="14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Sheet'!$I$2:$I$114</c:f>
              <c:numCache>
                <c:formatCode>General</c:formatCode>
                <c:ptCount val="113"/>
                <c:pt idx="6">
                  <c:v>20</c:v>
                </c:pt>
                <c:pt idx="7">
                  <c:v>33</c:v>
                </c:pt>
                <c:pt idx="11">
                  <c:v>51.505000000000003</c:v>
                </c:pt>
                <c:pt idx="12">
                  <c:v>420</c:v>
                </c:pt>
                <c:pt idx="16">
                  <c:v>25.683</c:v>
                </c:pt>
                <c:pt idx="18">
                  <c:v>63.3</c:v>
                </c:pt>
                <c:pt idx="21">
                  <c:v>21</c:v>
                </c:pt>
                <c:pt idx="28">
                  <c:v>618.5</c:v>
                </c:pt>
                <c:pt idx="32">
                  <c:v>114.66</c:v>
                </c:pt>
                <c:pt idx="36">
                  <c:v>312.55</c:v>
                </c:pt>
                <c:pt idx="40">
                  <c:v>60.92</c:v>
                </c:pt>
                <c:pt idx="41">
                  <c:v>349.23</c:v>
                </c:pt>
                <c:pt idx="42">
                  <c:v>4.0999999999999996</c:v>
                </c:pt>
                <c:pt idx="49">
                  <c:v>6.3</c:v>
                </c:pt>
                <c:pt idx="54">
                  <c:v>30</c:v>
                </c:pt>
                <c:pt idx="56">
                  <c:v>43.75</c:v>
                </c:pt>
                <c:pt idx="57">
                  <c:v>49.643599999999999</c:v>
                </c:pt>
                <c:pt idx="62">
                  <c:v>213.6</c:v>
                </c:pt>
                <c:pt idx="70">
                  <c:v>23.725000000000001</c:v>
                </c:pt>
                <c:pt idx="72">
                  <c:v>1054</c:v>
                </c:pt>
                <c:pt idx="79">
                  <c:v>48.7</c:v>
                </c:pt>
                <c:pt idx="82">
                  <c:v>47.548299999999998</c:v>
                </c:pt>
                <c:pt idx="83">
                  <c:v>58.4</c:v>
                </c:pt>
                <c:pt idx="85">
                  <c:v>170.1</c:v>
                </c:pt>
                <c:pt idx="87">
                  <c:v>248.8</c:v>
                </c:pt>
                <c:pt idx="89">
                  <c:v>138.59800000000001</c:v>
                </c:pt>
                <c:pt idx="91">
                  <c:v>64.122</c:v>
                </c:pt>
                <c:pt idx="93">
                  <c:v>15.4489</c:v>
                </c:pt>
                <c:pt idx="94">
                  <c:v>307.8</c:v>
                </c:pt>
                <c:pt idx="101">
                  <c:v>9.66</c:v>
                </c:pt>
                <c:pt idx="102">
                  <c:v>263.02999999999997</c:v>
                </c:pt>
                <c:pt idx="103">
                  <c:v>110.2</c:v>
                </c:pt>
                <c:pt idx="107">
                  <c:v>19.042999999999999</c:v>
                </c:pt>
                <c:pt idx="109">
                  <c:v>80.7</c:v>
                </c:pt>
              </c:numCache>
            </c:numRef>
          </c:xVal>
          <c:yVal>
            <c:numRef>
              <c:f>'Main Data Sheet'!#REF!</c:f>
              <c:numCache>
                <c:formatCode>General</c:formatCode>
                <c:ptCount val="1"/>
                <c:pt idx="0">
                  <c:v>1</c:v>
                </c:pt>
              </c:numCache>
            </c:numRef>
          </c:yVal>
          <c:smooth val="0"/>
          <c:extLst>
            <c:ext xmlns:c16="http://schemas.microsoft.com/office/drawing/2014/chart" uri="{C3380CC4-5D6E-409C-BE32-E72D297353CC}">
              <c16:uniqueId val="{00000000-817F-5B41-8530-BFA76C2B83F5}"/>
            </c:ext>
          </c:extLst>
        </c:ser>
        <c:dLbls>
          <c:showLegendKey val="0"/>
          <c:showVal val="0"/>
          <c:showCatName val="0"/>
          <c:showSerName val="0"/>
          <c:showPercent val="0"/>
          <c:showBubbleSize val="0"/>
        </c:dLbls>
        <c:axId val="16656639"/>
        <c:axId val="7324879"/>
      </c:scatterChart>
      <c:valAx>
        <c:axId val="16656639"/>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Fecal</a:t>
                </a:r>
                <a:r>
                  <a:rPr lang="en-US" baseline="0"/>
                  <a:t> Concentrations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4879"/>
        <c:crosses val="autoZero"/>
        <c:crossBetween val="midCat"/>
      </c:valAx>
      <c:valAx>
        <c:axId val="7324879"/>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Plasma</a:t>
                </a:r>
                <a:r>
                  <a:rPr lang="en-US" baseline="0"/>
                  <a:t> Concentrations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66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Cortisol</a:t>
            </a:r>
            <a:r>
              <a:rPr lang="en-US" baseline="0"/>
              <a:t> + Corticosterone vs. Body Mass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Basal Cortisol + Corticosterone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4.3361565801207001E-2"/>
                  <c:y val="-0.23567513692890571"/>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1"/>
                        </a:solidFill>
                      </a:rPr>
                      <a:t>y = 10079x</a:t>
                    </a:r>
                    <a:r>
                      <a:rPr lang="en-US" sz="1400" baseline="30000">
                        <a:solidFill>
                          <a:schemeClr val="accent1"/>
                        </a:solidFill>
                      </a:rPr>
                      <a:t>-0.373</a:t>
                    </a:r>
                    <a:br>
                      <a:rPr lang="en-US" sz="1400" baseline="0">
                        <a:solidFill>
                          <a:schemeClr val="accent1"/>
                        </a:solidFill>
                      </a:rPr>
                    </a:br>
                    <a:r>
                      <a:rPr lang="en-US" sz="1400" baseline="0">
                        <a:solidFill>
                          <a:schemeClr val="accent1"/>
                        </a:solidFill>
                      </a:rPr>
                      <a:t>R² = 0.159</a:t>
                    </a:r>
                    <a:endParaRPr lang="en-US" sz="1400">
                      <a:solidFill>
                        <a:schemeClr val="accent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Sheet'!$V$2:$V$115</c:f>
              <c:numCache>
                <c:formatCode>#,##0</c:formatCode>
                <c:ptCount val="114"/>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8" formatCode="#,##0.00">
                  <c:v>38446.1</c:v>
                </c:pt>
                <c:pt idx="29" formatCode="#,##0.00">
                  <c:v>38446.1</c:v>
                </c:pt>
                <c:pt idx="30">
                  <c:v>45.2</c:v>
                </c:pt>
                <c:pt idx="31">
                  <c:v>45.2</c:v>
                </c:pt>
                <c:pt idx="32">
                  <c:v>117500</c:v>
                </c:pt>
                <c:pt idx="33">
                  <c:v>102500</c:v>
                </c:pt>
                <c:pt idx="34">
                  <c:v>750000</c:v>
                </c:pt>
                <c:pt idx="35">
                  <c:v>434000</c:v>
                </c:pt>
                <c:pt idx="36" formatCode="General">
                  <c:v>22983.200000000001</c:v>
                </c:pt>
                <c:pt idx="37" formatCode="General">
                  <c:v>22983.200000000001</c:v>
                </c:pt>
                <c:pt idx="38">
                  <c:v>61000</c:v>
                </c:pt>
                <c:pt idx="39">
                  <c:v>61000</c:v>
                </c:pt>
                <c:pt idx="40">
                  <c:v>21667</c:v>
                </c:pt>
                <c:pt idx="41" formatCode="General">
                  <c:v>728</c:v>
                </c:pt>
                <c:pt idx="42">
                  <c:v>2175000</c:v>
                </c:pt>
                <c:pt idx="43">
                  <c:v>6500</c:v>
                </c:pt>
                <c:pt idx="44">
                  <c:v>200000</c:v>
                </c:pt>
                <c:pt idx="45">
                  <c:v>215000</c:v>
                </c:pt>
                <c:pt idx="46">
                  <c:v>215000</c:v>
                </c:pt>
                <c:pt idx="47">
                  <c:v>215000</c:v>
                </c:pt>
                <c:pt idx="48">
                  <c:v>215000</c:v>
                </c:pt>
                <c:pt idx="49">
                  <c:v>215000</c:v>
                </c:pt>
                <c:pt idx="50">
                  <c:v>215000</c:v>
                </c:pt>
                <c:pt idx="51">
                  <c:v>164500</c:v>
                </c:pt>
                <c:pt idx="52">
                  <c:v>164500</c:v>
                </c:pt>
                <c:pt idx="53">
                  <c:v>164500</c:v>
                </c:pt>
                <c:pt idx="54">
                  <c:v>164500</c:v>
                </c:pt>
                <c:pt idx="55">
                  <c:v>164500</c:v>
                </c:pt>
                <c:pt idx="56">
                  <c:v>63000</c:v>
                </c:pt>
                <c:pt idx="57">
                  <c:v>3178000</c:v>
                </c:pt>
                <c:pt idx="58">
                  <c:v>3178000</c:v>
                </c:pt>
                <c:pt idx="60">
                  <c:v>444900</c:v>
                </c:pt>
                <c:pt idx="61">
                  <c:v>384000</c:v>
                </c:pt>
                <c:pt idx="62">
                  <c:v>3900</c:v>
                </c:pt>
                <c:pt idx="63">
                  <c:v>3900</c:v>
                </c:pt>
                <c:pt idx="64">
                  <c:v>20.87</c:v>
                </c:pt>
                <c:pt idx="68">
                  <c:v>30</c:v>
                </c:pt>
                <c:pt idx="69">
                  <c:v>37</c:v>
                </c:pt>
                <c:pt idx="70">
                  <c:v>800000</c:v>
                </c:pt>
                <c:pt idx="71">
                  <c:v>800000</c:v>
                </c:pt>
                <c:pt idx="72">
                  <c:v>1600</c:v>
                </c:pt>
                <c:pt idx="75" formatCode="General">
                  <c:v>3940034</c:v>
                </c:pt>
                <c:pt idx="76">
                  <c:v>26500</c:v>
                </c:pt>
                <c:pt idx="77">
                  <c:v>3500</c:v>
                </c:pt>
                <c:pt idx="78">
                  <c:v>17000</c:v>
                </c:pt>
                <c:pt idx="79">
                  <c:v>100000</c:v>
                </c:pt>
                <c:pt idx="80">
                  <c:v>100000</c:v>
                </c:pt>
                <c:pt idx="81" formatCode="General">
                  <c:v>105</c:v>
                </c:pt>
                <c:pt idx="82">
                  <c:v>12000</c:v>
                </c:pt>
                <c:pt idx="83">
                  <c:v>1332</c:v>
                </c:pt>
                <c:pt idx="84">
                  <c:v>1332</c:v>
                </c:pt>
                <c:pt idx="85">
                  <c:v>1021</c:v>
                </c:pt>
                <c:pt idx="86">
                  <c:v>1021</c:v>
                </c:pt>
                <c:pt idx="87">
                  <c:v>19500</c:v>
                </c:pt>
                <c:pt idx="88">
                  <c:v>19500</c:v>
                </c:pt>
                <c:pt idx="89" formatCode="General">
                  <c:v>235</c:v>
                </c:pt>
                <c:pt idx="90">
                  <c:v>87000</c:v>
                </c:pt>
                <c:pt idx="91">
                  <c:v>315000</c:v>
                </c:pt>
                <c:pt idx="92">
                  <c:v>315000</c:v>
                </c:pt>
                <c:pt idx="93">
                  <c:v>175000</c:v>
                </c:pt>
                <c:pt idx="94">
                  <c:v>81150</c:v>
                </c:pt>
                <c:pt idx="95">
                  <c:v>119700</c:v>
                </c:pt>
                <c:pt idx="96">
                  <c:v>119700</c:v>
                </c:pt>
                <c:pt idx="97">
                  <c:v>20200</c:v>
                </c:pt>
                <c:pt idx="98" formatCode="General">
                  <c:v>21</c:v>
                </c:pt>
                <c:pt idx="99">
                  <c:v>101250</c:v>
                </c:pt>
                <c:pt idx="100">
                  <c:v>101250</c:v>
                </c:pt>
                <c:pt idx="101">
                  <c:v>1602330</c:v>
                </c:pt>
                <c:pt idx="102" formatCode="General">
                  <c:v>412.5</c:v>
                </c:pt>
                <c:pt idx="103">
                  <c:v>776</c:v>
                </c:pt>
                <c:pt idx="104">
                  <c:v>776</c:v>
                </c:pt>
                <c:pt idx="105">
                  <c:v>700000</c:v>
                </c:pt>
                <c:pt idx="106">
                  <c:v>1500</c:v>
                </c:pt>
                <c:pt idx="107">
                  <c:v>277500</c:v>
                </c:pt>
                <c:pt idx="108">
                  <c:v>475000</c:v>
                </c:pt>
                <c:pt idx="109">
                  <c:v>103750</c:v>
                </c:pt>
                <c:pt idx="110">
                  <c:v>103750</c:v>
                </c:pt>
                <c:pt idx="111">
                  <c:v>5200</c:v>
                </c:pt>
                <c:pt idx="112">
                  <c:v>4132</c:v>
                </c:pt>
              </c:numCache>
            </c:numRef>
          </c:xVal>
          <c:yVal>
            <c:numRef>
              <c:f>'Main Data Sheet'!#REF!</c:f>
              <c:numCache>
                <c:formatCode>General</c:formatCode>
                <c:ptCount val="1"/>
                <c:pt idx="0">
                  <c:v>1</c:v>
                </c:pt>
              </c:numCache>
            </c:numRef>
          </c:yVal>
          <c:smooth val="0"/>
          <c:extLst>
            <c:ext xmlns:c16="http://schemas.microsoft.com/office/drawing/2014/chart" uri="{C3380CC4-5D6E-409C-BE32-E72D297353CC}">
              <c16:uniqueId val="{00000000-AF0F-7546-9CA5-D53E27B23077}"/>
            </c:ext>
          </c:extLst>
        </c:ser>
        <c:ser>
          <c:idx val="1"/>
          <c:order val="1"/>
          <c:tx>
            <c:v>Elevated Cortisol + Corticostrone</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0.37698729065131342"/>
                  <c:y val="-1.6581356655117701E-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2"/>
                        </a:solidFill>
                      </a:rPr>
                      <a:t>y = 30495x</a:t>
                    </a:r>
                    <a:r>
                      <a:rPr lang="en-US" sz="1400" baseline="30000">
                        <a:solidFill>
                          <a:schemeClr val="accent2"/>
                        </a:solidFill>
                      </a:rPr>
                      <a:t>-0.383</a:t>
                    </a:r>
                    <a:br>
                      <a:rPr lang="en-US" sz="1400" baseline="0">
                        <a:solidFill>
                          <a:schemeClr val="accent2"/>
                        </a:solidFill>
                      </a:rPr>
                    </a:br>
                    <a:r>
                      <a:rPr lang="en-US" sz="1400" baseline="0">
                        <a:solidFill>
                          <a:schemeClr val="accent2"/>
                        </a:solidFill>
                      </a:rPr>
                      <a:t>R² = 0.0944</a:t>
                    </a:r>
                    <a:endParaRPr lang="en-US" sz="1400">
                      <a:solidFill>
                        <a:schemeClr val="accent2"/>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Sheet'!$V$2:$V$115</c:f>
              <c:numCache>
                <c:formatCode>#,##0</c:formatCode>
                <c:ptCount val="114"/>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8" formatCode="#,##0.00">
                  <c:v>38446.1</c:v>
                </c:pt>
                <c:pt idx="29" formatCode="#,##0.00">
                  <c:v>38446.1</c:v>
                </c:pt>
                <c:pt idx="30">
                  <c:v>45.2</c:v>
                </c:pt>
                <c:pt idx="31">
                  <c:v>45.2</c:v>
                </c:pt>
                <c:pt idx="32">
                  <c:v>117500</c:v>
                </c:pt>
                <c:pt idx="33">
                  <c:v>102500</c:v>
                </c:pt>
                <c:pt idx="34">
                  <c:v>750000</c:v>
                </c:pt>
                <c:pt idx="35">
                  <c:v>434000</c:v>
                </c:pt>
                <c:pt idx="36" formatCode="General">
                  <c:v>22983.200000000001</c:v>
                </c:pt>
                <c:pt idx="37" formatCode="General">
                  <c:v>22983.200000000001</c:v>
                </c:pt>
                <c:pt idx="38">
                  <c:v>61000</c:v>
                </c:pt>
                <c:pt idx="39">
                  <c:v>61000</c:v>
                </c:pt>
                <c:pt idx="40">
                  <c:v>21667</c:v>
                </c:pt>
                <c:pt idx="41" formatCode="General">
                  <c:v>728</c:v>
                </c:pt>
                <c:pt idx="42">
                  <c:v>2175000</c:v>
                </c:pt>
                <c:pt idx="43">
                  <c:v>6500</c:v>
                </c:pt>
                <c:pt idx="44">
                  <c:v>200000</c:v>
                </c:pt>
                <c:pt idx="45">
                  <c:v>215000</c:v>
                </c:pt>
                <c:pt idx="46">
                  <c:v>215000</c:v>
                </c:pt>
                <c:pt idx="47">
                  <c:v>215000</c:v>
                </c:pt>
                <c:pt idx="48">
                  <c:v>215000</c:v>
                </c:pt>
                <c:pt idx="49">
                  <c:v>215000</c:v>
                </c:pt>
                <c:pt idx="50">
                  <c:v>215000</c:v>
                </c:pt>
                <c:pt idx="51">
                  <c:v>164500</c:v>
                </c:pt>
                <c:pt idx="52">
                  <c:v>164500</c:v>
                </c:pt>
                <c:pt idx="53">
                  <c:v>164500</c:v>
                </c:pt>
                <c:pt idx="54">
                  <c:v>164500</c:v>
                </c:pt>
                <c:pt idx="55">
                  <c:v>164500</c:v>
                </c:pt>
                <c:pt idx="56">
                  <c:v>63000</c:v>
                </c:pt>
                <c:pt idx="57">
                  <c:v>3178000</c:v>
                </c:pt>
                <c:pt idx="58">
                  <c:v>3178000</c:v>
                </c:pt>
                <c:pt idx="60">
                  <c:v>444900</c:v>
                </c:pt>
                <c:pt idx="61">
                  <c:v>384000</c:v>
                </c:pt>
                <c:pt idx="62">
                  <c:v>3900</c:v>
                </c:pt>
                <c:pt idx="63">
                  <c:v>3900</c:v>
                </c:pt>
                <c:pt idx="64">
                  <c:v>20.87</c:v>
                </c:pt>
                <c:pt idx="68">
                  <c:v>30</c:v>
                </c:pt>
                <c:pt idx="69">
                  <c:v>37</c:v>
                </c:pt>
                <c:pt idx="70">
                  <c:v>800000</c:v>
                </c:pt>
                <c:pt idx="71">
                  <c:v>800000</c:v>
                </c:pt>
                <c:pt idx="72">
                  <c:v>1600</c:v>
                </c:pt>
                <c:pt idx="75" formatCode="General">
                  <c:v>3940034</c:v>
                </c:pt>
                <c:pt idx="76">
                  <c:v>26500</c:v>
                </c:pt>
                <c:pt idx="77">
                  <c:v>3500</c:v>
                </c:pt>
                <c:pt idx="78">
                  <c:v>17000</c:v>
                </c:pt>
                <c:pt idx="79">
                  <c:v>100000</c:v>
                </c:pt>
                <c:pt idx="80">
                  <c:v>100000</c:v>
                </c:pt>
                <c:pt idx="81" formatCode="General">
                  <c:v>105</c:v>
                </c:pt>
                <c:pt idx="82">
                  <c:v>12000</c:v>
                </c:pt>
                <c:pt idx="83">
                  <c:v>1332</c:v>
                </c:pt>
                <c:pt idx="84">
                  <c:v>1332</c:v>
                </c:pt>
                <c:pt idx="85">
                  <c:v>1021</c:v>
                </c:pt>
                <c:pt idx="86">
                  <c:v>1021</c:v>
                </c:pt>
                <c:pt idx="87">
                  <c:v>19500</c:v>
                </c:pt>
                <c:pt idx="88">
                  <c:v>19500</c:v>
                </c:pt>
                <c:pt idx="89" formatCode="General">
                  <c:v>235</c:v>
                </c:pt>
                <c:pt idx="90">
                  <c:v>87000</c:v>
                </c:pt>
                <c:pt idx="91">
                  <c:v>315000</c:v>
                </c:pt>
                <c:pt idx="92">
                  <c:v>315000</c:v>
                </c:pt>
                <c:pt idx="93">
                  <c:v>175000</c:v>
                </c:pt>
                <c:pt idx="94">
                  <c:v>81150</c:v>
                </c:pt>
                <c:pt idx="95">
                  <c:v>119700</c:v>
                </c:pt>
                <c:pt idx="96">
                  <c:v>119700</c:v>
                </c:pt>
                <c:pt idx="97">
                  <c:v>20200</c:v>
                </c:pt>
                <c:pt idx="98" formatCode="General">
                  <c:v>21</c:v>
                </c:pt>
                <c:pt idx="99">
                  <c:v>101250</c:v>
                </c:pt>
                <c:pt idx="100">
                  <c:v>101250</c:v>
                </c:pt>
                <c:pt idx="101">
                  <c:v>1602330</c:v>
                </c:pt>
                <c:pt idx="102" formatCode="General">
                  <c:v>412.5</c:v>
                </c:pt>
                <c:pt idx="103">
                  <c:v>776</c:v>
                </c:pt>
                <c:pt idx="104">
                  <c:v>776</c:v>
                </c:pt>
                <c:pt idx="105">
                  <c:v>700000</c:v>
                </c:pt>
                <c:pt idx="106">
                  <c:v>1500</c:v>
                </c:pt>
                <c:pt idx="107">
                  <c:v>277500</c:v>
                </c:pt>
                <c:pt idx="108">
                  <c:v>475000</c:v>
                </c:pt>
                <c:pt idx="109">
                  <c:v>103750</c:v>
                </c:pt>
                <c:pt idx="110">
                  <c:v>103750</c:v>
                </c:pt>
                <c:pt idx="111">
                  <c:v>5200</c:v>
                </c:pt>
                <c:pt idx="112">
                  <c:v>4132</c:v>
                </c:pt>
              </c:numCache>
            </c:numRef>
          </c:xVal>
          <c:yVal>
            <c:numRef>
              <c:f>'Main Data Sheet'!#REF!</c:f>
              <c:numCache>
                <c:formatCode>General</c:formatCode>
                <c:ptCount val="1"/>
                <c:pt idx="0">
                  <c:v>1</c:v>
                </c:pt>
              </c:numCache>
            </c:numRef>
          </c:yVal>
          <c:smooth val="0"/>
          <c:extLst>
            <c:ext xmlns:c16="http://schemas.microsoft.com/office/drawing/2014/chart" uri="{C3380CC4-5D6E-409C-BE32-E72D297353CC}">
              <c16:uniqueId val="{00000001-AF0F-7546-9CA5-D53E27B23077}"/>
            </c:ext>
          </c:extLst>
        </c:ser>
        <c:dLbls>
          <c:showLegendKey val="0"/>
          <c:showVal val="0"/>
          <c:showCatName val="0"/>
          <c:showSerName val="0"/>
          <c:showPercent val="0"/>
          <c:showBubbleSize val="0"/>
        </c:dLbls>
        <c:axId val="277716224"/>
        <c:axId val="277408192"/>
      </c:scatterChart>
      <c:valAx>
        <c:axId val="277716224"/>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body</a:t>
                </a:r>
                <a:r>
                  <a:rPr lang="en-US" baseline="0"/>
                  <a:t> mass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08192"/>
        <c:crosses val="autoZero"/>
        <c:crossBetween val="midCat"/>
      </c:valAx>
      <c:valAx>
        <c:axId val="277408192"/>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added</a:t>
                </a:r>
                <a:r>
                  <a:rPr lang="en-US" baseline="0"/>
                  <a:t> concentrations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7162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Cortisol</a:t>
            </a:r>
            <a:r>
              <a:rPr lang="en-US" baseline="0"/>
              <a:t> + Corticosterone vs. Metabolic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Basal Cortisol + Corticosterone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29635786919634394"/>
                  <c:y val="-2.3294898422923831E-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1"/>
                        </a:solidFill>
                      </a:rPr>
                      <a:t>y = 15131x</a:t>
                    </a:r>
                    <a:r>
                      <a:rPr lang="en-US" sz="1400" baseline="30000">
                        <a:solidFill>
                          <a:schemeClr val="accent1"/>
                        </a:solidFill>
                      </a:rPr>
                      <a:t>0.6759</a:t>
                    </a:r>
                    <a:br>
                      <a:rPr lang="en-US" sz="1400" baseline="0">
                        <a:solidFill>
                          <a:schemeClr val="accent1"/>
                        </a:solidFill>
                      </a:rPr>
                    </a:br>
                    <a:r>
                      <a:rPr lang="en-US" sz="1400" baseline="0">
                        <a:solidFill>
                          <a:schemeClr val="accent1"/>
                        </a:solidFill>
                      </a:rPr>
                      <a:t>R² = 0.1209</a:t>
                    </a:r>
                    <a:endParaRPr lang="en-US" sz="1400">
                      <a:solidFill>
                        <a:schemeClr val="accent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Sheet'!$W$2:$W$114</c:f>
              <c:numCache>
                <c:formatCode>General</c:formatCode>
                <c:ptCount val="113"/>
                <c:pt idx="2">
                  <c:v>2.15E-3</c:v>
                </c:pt>
                <c:pt idx="16">
                  <c:v>2.9889999999999999E-3</c:v>
                </c:pt>
                <c:pt idx="17">
                  <c:v>2.5999999999999999E-3</c:v>
                </c:pt>
                <c:pt idx="18">
                  <c:v>1.665E-3</c:v>
                </c:pt>
                <c:pt idx="19">
                  <c:v>1.116E-3</c:v>
                </c:pt>
                <c:pt idx="20">
                  <c:v>1.116E-3</c:v>
                </c:pt>
                <c:pt idx="21">
                  <c:v>1.116E-3</c:v>
                </c:pt>
                <c:pt idx="28">
                  <c:v>1.6069999999999999E-3</c:v>
                </c:pt>
                <c:pt idx="29">
                  <c:v>1.6069999999999999E-3</c:v>
                </c:pt>
                <c:pt idx="30">
                  <c:v>6.143E-3</c:v>
                </c:pt>
                <c:pt idx="31">
                  <c:v>6.143E-3</c:v>
                </c:pt>
                <c:pt idx="34">
                  <c:v>8.8400000000000002E-4</c:v>
                </c:pt>
                <c:pt idx="35">
                  <c:v>5.5199999999999997E-4</c:v>
                </c:pt>
                <c:pt idx="38">
                  <c:v>1.4E-3</c:v>
                </c:pt>
                <c:pt idx="39">
                  <c:v>1.4E-3</c:v>
                </c:pt>
                <c:pt idx="40">
                  <c:v>2.1559999999999999E-3</c:v>
                </c:pt>
                <c:pt idx="41">
                  <c:v>3.333E-3</c:v>
                </c:pt>
                <c:pt idx="43">
                  <c:v>1.562E-3</c:v>
                </c:pt>
                <c:pt idx="44">
                  <c:v>1.678E-3</c:v>
                </c:pt>
                <c:pt idx="51">
                  <c:v>1.1709999999999999E-3</c:v>
                </c:pt>
                <c:pt idx="52">
                  <c:v>1.1709999999999999E-3</c:v>
                </c:pt>
                <c:pt idx="53">
                  <c:v>1.1709999999999999E-3</c:v>
                </c:pt>
                <c:pt idx="54">
                  <c:v>1.1709999999999999E-3</c:v>
                </c:pt>
                <c:pt idx="55">
                  <c:v>1.1709999999999999E-3</c:v>
                </c:pt>
                <c:pt idx="57">
                  <c:v>6.3599999999999996E-4</c:v>
                </c:pt>
                <c:pt idx="58">
                  <c:v>6.3599999999999996E-4</c:v>
                </c:pt>
                <c:pt idx="60">
                  <c:v>8.1499999999999997E-4</c:v>
                </c:pt>
                <c:pt idx="62">
                  <c:v>2.47E-3</c:v>
                </c:pt>
                <c:pt idx="63">
                  <c:v>2.47E-3</c:v>
                </c:pt>
                <c:pt idx="68">
                  <c:v>7.9799999999999992E-3</c:v>
                </c:pt>
                <c:pt idx="69">
                  <c:v>4.1840000000000002E-3</c:v>
                </c:pt>
                <c:pt idx="70">
                  <c:v>8.7399999999999999E-4</c:v>
                </c:pt>
                <c:pt idx="71">
                  <c:v>8.7399999999999999E-4</c:v>
                </c:pt>
                <c:pt idx="72">
                  <c:v>4.1840000000000002E-3</c:v>
                </c:pt>
                <c:pt idx="75">
                  <c:v>8.9999999999999998E-4</c:v>
                </c:pt>
                <c:pt idx="76">
                  <c:v>3.7729999999999999E-3</c:v>
                </c:pt>
                <c:pt idx="77">
                  <c:v>2.0079999999999998E-3</c:v>
                </c:pt>
                <c:pt idx="79">
                  <c:v>7.0299999999999996E-4</c:v>
                </c:pt>
                <c:pt idx="80">
                  <c:v>7.0299999999999996E-4</c:v>
                </c:pt>
                <c:pt idx="81">
                  <c:v>6.3769999999999999E-3</c:v>
                </c:pt>
                <c:pt idx="89">
                  <c:v>4.7999999999999996E-3</c:v>
                </c:pt>
                <c:pt idx="90">
                  <c:v>1.9959999999999999E-3</c:v>
                </c:pt>
                <c:pt idx="93">
                  <c:v>9.6500000000000004E-4</c:v>
                </c:pt>
                <c:pt idx="94">
                  <c:v>1.238E-3</c:v>
                </c:pt>
                <c:pt idx="95">
                  <c:v>9.7099999999999997E-4</c:v>
                </c:pt>
                <c:pt idx="96">
                  <c:v>9.7099999999999997E-4</c:v>
                </c:pt>
                <c:pt idx="97">
                  <c:v>1.6180000000000001E-3</c:v>
                </c:pt>
                <c:pt idx="98">
                  <c:v>1.0683E-2</c:v>
                </c:pt>
                <c:pt idx="99">
                  <c:v>1.408E-3</c:v>
                </c:pt>
                <c:pt idx="100">
                  <c:v>1.408E-3</c:v>
                </c:pt>
                <c:pt idx="103">
                  <c:v>2.0339999999999998E-3</c:v>
                </c:pt>
                <c:pt idx="104">
                  <c:v>2.0339999999999998E-3</c:v>
                </c:pt>
                <c:pt idx="106">
                  <c:v>1.01E-3</c:v>
                </c:pt>
                <c:pt idx="111">
                  <c:v>2.1289999999999998E-3</c:v>
                </c:pt>
                <c:pt idx="112">
                  <c:v>2.9979999999999998E-3</c:v>
                </c:pt>
              </c:numCache>
            </c:numRef>
          </c:xVal>
          <c:yVal>
            <c:numRef>
              <c:f>'Main Data Sheet'!#REF!</c:f>
              <c:numCache>
                <c:formatCode>General</c:formatCode>
                <c:ptCount val="1"/>
                <c:pt idx="0">
                  <c:v>1</c:v>
                </c:pt>
              </c:numCache>
            </c:numRef>
          </c:yVal>
          <c:smooth val="0"/>
          <c:extLst>
            <c:ext xmlns:c16="http://schemas.microsoft.com/office/drawing/2014/chart" uri="{C3380CC4-5D6E-409C-BE32-E72D297353CC}">
              <c16:uniqueId val="{00000000-343E-224F-9256-4BDA13BBA5DB}"/>
            </c:ext>
          </c:extLst>
        </c:ser>
        <c:ser>
          <c:idx val="1"/>
          <c:order val="1"/>
          <c:tx>
            <c:v>Elevated Cortisol + Corticosterone</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0.13969484533246943"/>
                  <c:y val="0.12615057245409966"/>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2"/>
                        </a:solidFill>
                      </a:rPr>
                      <a:t>y = 0.1201x</a:t>
                    </a:r>
                    <a:r>
                      <a:rPr lang="en-US" sz="1400" baseline="30000">
                        <a:solidFill>
                          <a:schemeClr val="accent2"/>
                        </a:solidFill>
                      </a:rPr>
                      <a:t>-1.305</a:t>
                    </a:r>
                    <a:br>
                      <a:rPr lang="en-US" sz="1400" baseline="0">
                        <a:solidFill>
                          <a:schemeClr val="accent2"/>
                        </a:solidFill>
                      </a:rPr>
                    </a:br>
                    <a:r>
                      <a:rPr lang="en-US" sz="1400" baseline="0">
                        <a:solidFill>
                          <a:schemeClr val="accent2"/>
                        </a:solidFill>
                      </a:rPr>
                      <a:t>R² = 1E-06</a:t>
                    </a:r>
                    <a:endParaRPr lang="en-US" sz="1400">
                      <a:solidFill>
                        <a:schemeClr val="accent2"/>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Sheet'!$W$2:$W$114</c:f>
              <c:numCache>
                <c:formatCode>General</c:formatCode>
                <c:ptCount val="113"/>
                <c:pt idx="2">
                  <c:v>2.15E-3</c:v>
                </c:pt>
                <c:pt idx="16">
                  <c:v>2.9889999999999999E-3</c:v>
                </c:pt>
                <c:pt idx="17">
                  <c:v>2.5999999999999999E-3</c:v>
                </c:pt>
                <c:pt idx="18">
                  <c:v>1.665E-3</c:v>
                </c:pt>
                <c:pt idx="19">
                  <c:v>1.116E-3</c:v>
                </c:pt>
                <c:pt idx="20">
                  <c:v>1.116E-3</c:v>
                </c:pt>
                <c:pt idx="21">
                  <c:v>1.116E-3</c:v>
                </c:pt>
                <c:pt idx="28">
                  <c:v>1.6069999999999999E-3</c:v>
                </c:pt>
                <c:pt idx="29">
                  <c:v>1.6069999999999999E-3</c:v>
                </c:pt>
                <c:pt idx="30">
                  <c:v>6.143E-3</c:v>
                </c:pt>
                <c:pt idx="31">
                  <c:v>6.143E-3</c:v>
                </c:pt>
                <c:pt idx="34">
                  <c:v>8.8400000000000002E-4</c:v>
                </c:pt>
                <c:pt idx="35">
                  <c:v>5.5199999999999997E-4</c:v>
                </c:pt>
                <c:pt idx="38">
                  <c:v>1.4E-3</c:v>
                </c:pt>
                <c:pt idx="39">
                  <c:v>1.4E-3</c:v>
                </c:pt>
                <c:pt idx="40">
                  <c:v>2.1559999999999999E-3</c:v>
                </c:pt>
                <c:pt idx="41">
                  <c:v>3.333E-3</c:v>
                </c:pt>
                <c:pt idx="43">
                  <c:v>1.562E-3</c:v>
                </c:pt>
                <c:pt idx="44">
                  <c:v>1.678E-3</c:v>
                </c:pt>
                <c:pt idx="51">
                  <c:v>1.1709999999999999E-3</c:v>
                </c:pt>
                <c:pt idx="52">
                  <c:v>1.1709999999999999E-3</c:v>
                </c:pt>
                <c:pt idx="53">
                  <c:v>1.1709999999999999E-3</c:v>
                </c:pt>
                <c:pt idx="54">
                  <c:v>1.1709999999999999E-3</c:v>
                </c:pt>
                <c:pt idx="55">
                  <c:v>1.1709999999999999E-3</c:v>
                </c:pt>
                <c:pt idx="57">
                  <c:v>6.3599999999999996E-4</c:v>
                </c:pt>
                <c:pt idx="58">
                  <c:v>6.3599999999999996E-4</c:v>
                </c:pt>
                <c:pt idx="60">
                  <c:v>8.1499999999999997E-4</c:v>
                </c:pt>
                <c:pt idx="62">
                  <c:v>2.47E-3</c:v>
                </c:pt>
                <c:pt idx="63">
                  <c:v>2.47E-3</c:v>
                </c:pt>
                <c:pt idx="68">
                  <c:v>7.9799999999999992E-3</c:v>
                </c:pt>
                <c:pt idx="69">
                  <c:v>4.1840000000000002E-3</c:v>
                </c:pt>
                <c:pt idx="70">
                  <c:v>8.7399999999999999E-4</c:v>
                </c:pt>
                <c:pt idx="71">
                  <c:v>8.7399999999999999E-4</c:v>
                </c:pt>
                <c:pt idx="72">
                  <c:v>4.1840000000000002E-3</c:v>
                </c:pt>
                <c:pt idx="75">
                  <c:v>8.9999999999999998E-4</c:v>
                </c:pt>
                <c:pt idx="76">
                  <c:v>3.7729999999999999E-3</c:v>
                </c:pt>
                <c:pt idx="77">
                  <c:v>2.0079999999999998E-3</c:v>
                </c:pt>
                <c:pt idx="79">
                  <c:v>7.0299999999999996E-4</c:v>
                </c:pt>
                <c:pt idx="80">
                  <c:v>7.0299999999999996E-4</c:v>
                </c:pt>
                <c:pt idx="81">
                  <c:v>6.3769999999999999E-3</c:v>
                </c:pt>
                <c:pt idx="89">
                  <c:v>4.7999999999999996E-3</c:v>
                </c:pt>
                <c:pt idx="90">
                  <c:v>1.9959999999999999E-3</c:v>
                </c:pt>
                <c:pt idx="93">
                  <c:v>9.6500000000000004E-4</c:v>
                </c:pt>
                <c:pt idx="94">
                  <c:v>1.238E-3</c:v>
                </c:pt>
                <c:pt idx="95">
                  <c:v>9.7099999999999997E-4</c:v>
                </c:pt>
                <c:pt idx="96">
                  <c:v>9.7099999999999997E-4</c:v>
                </c:pt>
                <c:pt idx="97">
                  <c:v>1.6180000000000001E-3</c:v>
                </c:pt>
                <c:pt idx="98">
                  <c:v>1.0683E-2</c:v>
                </c:pt>
                <c:pt idx="99">
                  <c:v>1.408E-3</c:v>
                </c:pt>
                <c:pt idx="100">
                  <c:v>1.408E-3</c:v>
                </c:pt>
                <c:pt idx="103">
                  <c:v>2.0339999999999998E-3</c:v>
                </c:pt>
                <c:pt idx="104">
                  <c:v>2.0339999999999998E-3</c:v>
                </c:pt>
                <c:pt idx="106">
                  <c:v>1.01E-3</c:v>
                </c:pt>
                <c:pt idx="111">
                  <c:v>2.1289999999999998E-3</c:v>
                </c:pt>
                <c:pt idx="112">
                  <c:v>2.9979999999999998E-3</c:v>
                </c:pt>
              </c:numCache>
            </c:numRef>
          </c:xVal>
          <c:yVal>
            <c:numRef>
              <c:f>'Main Data Sheet'!#REF!</c:f>
              <c:numCache>
                <c:formatCode>General</c:formatCode>
                <c:ptCount val="1"/>
                <c:pt idx="0">
                  <c:v>1</c:v>
                </c:pt>
              </c:numCache>
            </c:numRef>
          </c:yVal>
          <c:smooth val="0"/>
          <c:extLst>
            <c:ext xmlns:c16="http://schemas.microsoft.com/office/drawing/2014/chart" uri="{C3380CC4-5D6E-409C-BE32-E72D297353CC}">
              <c16:uniqueId val="{00000001-343E-224F-9256-4BDA13BBA5DB}"/>
            </c:ext>
          </c:extLst>
        </c:ser>
        <c:dLbls>
          <c:showLegendKey val="0"/>
          <c:showVal val="0"/>
          <c:showCatName val="0"/>
          <c:showSerName val="0"/>
          <c:showPercent val="0"/>
          <c:showBubbleSize val="0"/>
        </c:dLbls>
        <c:axId val="248672240"/>
        <c:axId val="248579632"/>
      </c:scatterChart>
      <c:valAx>
        <c:axId val="248672240"/>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Metabolic</a:t>
                </a:r>
                <a:r>
                  <a:rPr lang="en-US" baseline="0"/>
                  <a:t> Rate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579632"/>
        <c:crosses val="autoZero"/>
        <c:crossBetween val="midCat"/>
      </c:valAx>
      <c:valAx>
        <c:axId val="248579632"/>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Cortisol</a:t>
                </a:r>
                <a:r>
                  <a:rPr lang="en-US" baseline="0"/>
                  <a:t> = Corticosterone Concentrations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6722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FGCs vs. Metabolic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Basal Total FGCs</c:v>
          </c:tx>
          <c:spPr>
            <a:ln w="25400" cap="rnd">
              <a:noFill/>
              <a:round/>
            </a:ln>
            <a:effectLst/>
          </c:spPr>
          <c:marker>
            <c:symbol val="circle"/>
            <c:size val="5"/>
            <c:spPr>
              <a:solidFill>
                <a:schemeClr val="accent1"/>
              </a:solidFill>
              <a:ln w="9525">
                <a:solidFill>
                  <a:schemeClr val="accent1"/>
                </a:solidFill>
              </a:ln>
              <a:effectLst/>
            </c:spPr>
          </c:marker>
          <c:xVal>
            <c:numRef>
              <c:f>'Main Data Sheet'!$W$2:$W$115</c:f>
              <c:numCache>
                <c:formatCode>General</c:formatCode>
                <c:ptCount val="114"/>
                <c:pt idx="2">
                  <c:v>2.15E-3</c:v>
                </c:pt>
                <c:pt idx="16">
                  <c:v>2.9889999999999999E-3</c:v>
                </c:pt>
                <c:pt idx="17">
                  <c:v>2.5999999999999999E-3</c:v>
                </c:pt>
                <c:pt idx="18">
                  <c:v>1.665E-3</c:v>
                </c:pt>
                <c:pt idx="19">
                  <c:v>1.116E-3</c:v>
                </c:pt>
                <c:pt idx="20">
                  <c:v>1.116E-3</c:v>
                </c:pt>
                <c:pt idx="21">
                  <c:v>1.116E-3</c:v>
                </c:pt>
                <c:pt idx="28">
                  <c:v>1.6069999999999999E-3</c:v>
                </c:pt>
                <c:pt idx="29">
                  <c:v>1.6069999999999999E-3</c:v>
                </c:pt>
                <c:pt idx="30">
                  <c:v>6.143E-3</c:v>
                </c:pt>
                <c:pt idx="31">
                  <c:v>6.143E-3</c:v>
                </c:pt>
                <c:pt idx="34">
                  <c:v>8.8400000000000002E-4</c:v>
                </c:pt>
                <c:pt idx="35">
                  <c:v>5.5199999999999997E-4</c:v>
                </c:pt>
                <c:pt idx="38">
                  <c:v>1.4E-3</c:v>
                </c:pt>
                <c:pt idx="39">
                  <c:v>1.4E-3</c:v>
                </c:pt>
                <c:pt idx="40">
                  <c:v>2.1559999999999999E-3</c:v>
                </c:pt>
                <c:pt idx="41">
                  <c:v>3.333E-3</c:v>
                </c:pt>
                <c:pt idx="43">
                  <c:v>1.562E-3</c:v>
                </c:pt>
                <c:pt idx="44">
                  <c:v>1.678E-3</c:v>
                </c:pt>
                <c:pt idx="51">
                  <c:v>1.1709999999999999E-3</c:v>
                </c:pt>
                <c:pt idx="52">
                  <c:v>1.1709999999999999E-3</c:v>
                </c:pt>
                <c:pt idx="53">
                  <c:v>1.1709999999999999E-3</c:v>
                </c:pt>
                <c:pt idx="54">
                  <c:v>1.1709999999999999E-3</c:v>
                </c:pt>
                <c:pt idx="55">
                  <c:v>1.1709999999999999E-3</c:v>
                </c:pt>
                <c:pt idx="57">
                  <c:v>6.3599999999999996E-4</c:v>
                </c:pt>
                <c:pt idx="58">
                  <c:v>6.3599999999999996E-4</c:v>
                </c:pt>
                <c:pt idx="60">
                  <c:v>8.1499999999999997E-4</c:v>
                </c:pt>
                <c:pt idx="62">
                  <c:v>2.47E-3</c:v>
                </c:pt>
                <c:pt idx="63">
                  <c:v>2.47E-3</c:v>
                </c:pt>
                <c:pt idx="68">
                  <c:v>7.9799999999999992E-3</c:v>
                </c:pt>
                <c:pt idx="69">
                  <c:v>4.1840000000000002E-3</c:v>
                </c:pt>
                <c:pt idx="70">
                  <c:v>8.7399999999999999E-4</c:v>
                </c:pt>
                <c:pt idx="71">
                  <c:v>8.7399999999999999E-4</c:v>
                </c:pt>
                <c:pt idx="72">
                  <c:v>4.1840000000000002E-3</c:v>
                </c:pt>
                <c:pt idx="75">
                  <c:v>8.9999999999999998E-4</c:v>
                </c:pt>
                <c:pt idx="76">
                  <c:v>3.7729999999999999E-3</c:v>
                </c:pt>
                <c:pt idx="77">
                  <c:v>2.0079999999999998E-3</c:v>
                </c:pt>
                <c:pt idx="79">
                  <c:v>7.0299999999999996E-4</c:v>
                </c:pt>
                <c:pt idx="80">
                  <c:v>7.0299999999999996E-4</c:v>
                </c:pt>
                <c:pt idx="81">
                  <c:v>6.3769999999999999E-3</c:v>
                </c:pt>
                <c:pt idx="89">
                  <c:v>4.7999999999999996E-3</c:v>
                </c:pt>
                <c:pt idx="90">
                  <c:v>1.9959999999999999E-3</c:v>
                </c:pt>
                <c:pt idx="93">
                  <c:v>9.6500000000000004E-4</c:v>
                </c:pt>
                <c:pt idx="94">
                  <c:v>1.238E-3</c:v>
                </c:pt>
                <c:pt idx="95">
                  <c:v>9.7099999999999997E-4</c:v>
                </c:pt>
                <c:pt idx="96">
                  <c:v>9.7099999999999997E-4</c:v>
                </c:pt>
                <c:pt idx="97">
                  <c:v>1.6180000000000001E-3</c:v>
                </c:pt>
                <c:pt idx="98">
                  <c:v>1.0683E-2</c:v>
                </c:pt>
                <c:pt idx="99">
                  <c:v>1.408E-3</c:v>
                </c:pt>
                <c:pt idx="100">
                  <c:v>1.408E-3</c:v>
                </c:pt>
                <c:pt idx="103">
                  <c:v>2.0339999999999998E-3</c:v>
                </c:pt>
                <c:pt idx="104">
                  <c:v>2.0339999999999998E-3</c:v>
                </c:pt>
                <c:pt idx="106">
                  <c:v>1.01E-3</c:v>
                </c:pt>
                <c:pt idx="111">
                  <c:v>2.1289999999999998E-3</c:v>
                </c:pt>
                <c:pt idx="112">
                  <c:v>2.9979999999999998E-3</c:v>
                </c:pt>
              </c:numCache>
            </c:numRef>
          </c:xVal>
          <c:yVal>
            <c:numRef>
              <c:f>'Main Data Sheet'!$M$2:$M$114</c:f>
              <c:numCache>
                <c:formatCode>General</c:formatCode>
                <c:ptCount val="113"/>
                <c:pt idx="3">
                  <c:v>620</c:v>
                </c:pt>
                <c:pt idx="4">
                  <c:v>450</c:v>
                </c:pt>
                <c:pt idx="8">
                  <c:v>1683.33</c:v>
                </c:pt>
                <c:pt idx="9">
                  <c:v>791.66700000000003</c:v>
                </c:pt>
                <c:pt idx="13">
                  <c:v>200</c:v>
                </c:pt>
                <c:pt idx="14">
                  <c:v>120</c:v>
                </c:pt>
                <c:pt idx="17">
                  <c:v>9.94</c:v>
                </c:pt>
                <c:pt idx="19">
                  <c:v>917.5</c:v>
                </c:pt>
                <c:pt idx="20">
                  <c:v>1270</c:v>
                </c:pt>
                <c:pt idx="30">
                  <c:v>1077.33</c:v>
                </c:pt>
                <c:pt idx="31">
                  <c:v>3524.28</c:v>
                </c:pt>
                <c:pt idx="33">
                  <c:v>130.333</c:v>
                </c:pt>
                <c:pt idx="34">
                  <c:v>96.4</c:v>
                </c:pt>
                <c:pt idx="35">
                  <c:v>503.9</c:v>
                </c:pt>
                <c:pt idx="38">
                  <c:v>124</c:v>
                </c:pt>
                <c:pt idx="39">
                  <c:v>316</c:v>
                </c:pt>
                <c:pt idx="43">
                  <c:v>84.5</c:v>
                </c:pt>
                <c:pt idx="44">
                  <c:v>26.03</c:v>
                </c:pt>
                <c:pt idx="45">
                  <c:v>43.5</c:v>
                </c:pt>
                <c:pt idx="46">
                  <c:v>147.15</c:v>
                </c:pt>
                <c:pt idx="47">
                  <c:v>27</c:v>
                </c:pt>
                <c:pt idx="48">
                  <c:v>40.700000000000003</c:v>
                </c:pt>
                <c:pt idx="51">
                  <c:v>530</c:v>
                </c:pt>
                <c:pt idx="52">
                  <c:v>1050</c:v>
                </c:pt>
                <c:pt idx="53">
                  <c:v>435</c:v>
                </c:pt>
                <c:pt idx="58">
                  <c:v>126.7</c:v>
                </c:pt>
                <c:pt idx="60">
                  <c:v>24.02</c:v>
                </c:pt>
                <c:pt idx="75">
                  <c:v>332</c:v>
                </c:pt>
                <c:pt idx="76">
                  <c:v>267.75</c:v>
                </c:pt>
                <c:pt idx="78">
                  <c:v>181.5</c:v>
                </c:pt>
                <c:pt idx="81">
                  <c:v>204.55</c:v>
                </c:pt>
                <c:pt idx="90">
                  <c:v>67.5</c:v>
                </c:pt>
                <c:pt idx="95">
                  <c:v>101.455</c:v>
                </c:pt>
                <c:pt idx="96">
                  <c:v>101.44499999999999</c:v>
                </c:pt>
                <c:pt idx="97">
                  <c:v>35.9</c:v>
                </c:pt>
                <c:pt idx="99">
                  <c:v>60.66</c:v>
                </c:pt>
                <c:pt idx="100">
                  <c:v>41.3</c:v>
                </c:pt>
                <c:pt idx="105">
                  <c:v>40.19</c:v>
                </c:pt>
                <c:pt idx="106">
                  <c:v>642.1</c:v>
                </c:pt>
                <c:pt idx="108">
                  <c:v>64.635000000000005</c:v>
                </c:pt>
                <c:pt idx="111">
                  <c:v>695</c:v>
                </c:pt>
                <c:pt idx="112">
                  <c:v>475</c:v>
                </c:pt>
              </c:numCache>
            </c:numRef>
          </c:yVal>
          <c:smooth val="0"/>
          <c:extLst>
            <c:ext xmlns:c16="http://schemas.microsoft.com/office/drawing/2014/chart" uri="{C3380CC4-5D6E-409C-BE32-E72D297353CC}">
              <c16:uniqueId val="{00000000-6ADF-F143-A7A7-55AB16512BC1}"/>
            </c:ext>
          </c:extLst>
        </c:ser>
        <c:ser>
          <c:idx val="1"/>
          <c:order val="1"/>
          <c:tx>
            <c:v>Elevated Total FGCs</c:v>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0.20825748679005077"/>
                  <c:y val="-6.4674352255303588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2"/>
                        </a:solidFill>
                      </a:rPr>
                      <a:t>y = 3027.5x</a:t>
                    </a:r>
                    <a:r>
                      <a:rPr lang="en-US" sz="1400" baseline="30000">
                        <a:solidFill>
                          <a:schemeClr val="accent2"/>
                        </a:solidFill>
                      </a:rPr>
                      <a:t>0.1911</a:t>
                    </a:r>
                    <a:br>
                      <a:rPr lang="en-US" sz="1400" baseline="0">
                        <a:solidFill>
                          <a:schemeClr val="accent2"/>
                        </a:solidFill>
                      </a:rPr>
                    </a:br>
                    <a:r>
                      <a:rPr lang="en-US" sz="1400" baseline="0">
                        <a:solidFill>
                          <a:schemeClr val="accent2"/>
                        </a:solidFill>
                      </a:rPr>
                      <a:t>R² = 0.0136</a:t>
                    </a:r>
                    <a:endParaRPr lang="en-US" sz="1400">
                      <a:solidFill>
                        <a:schemeClr val="accent2"/>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'Main Data Sheet'!$W$2:$W$114</c:f>
              <c:numCache>
                <c:formatCode>General</c:formatCode>
                <c:ptCount val="113"/>
                <c:pt idx="2">
                  <c:v>2.15E-3</c:v>
                </c:pt>
                <c:pt idx="16">
                  <c:v>2.9889999999999999E-3</c:v>
                </c:pt>
                <c:pt idx="17">
                  <c:v>2.5999999999999999E-3</c:v>
                </c:pt>
                <c:pt idx="18">
                  <c:v>1.665E-3</c:v>
                </c:pt>
                <c:pt idx="19">
                  <c:v>1.116E-3</c:v>
                </c:pt>
                <c:pt idx="20">
                  <c:v>1.116E-3</c:v>
                </c:pt>
                <c:pt idx="21">
                  <c:v>1.116E-3</c:v>
                </c:pt>
                <c:pt idx="28">
                  <c:v>1.6069999999999999E-3</c:v>
                </c:pt>
                <c:pt idx="29">
                  <c:v>1.6069999999999999E-3</c:v>
                </c:pt>
                <c:pt idx="30">
                  <c:v>6.143E-3</c:v>
                </c:pt>
                <c:pt idx="31">
                  <c:v>6.143E-3</c:v>
                </c:pt>
                <c:pt idx="34">
                  <c:v>8.8400000000000002E-4</c:v>
                </c:pt>
                <c:pt idx="35">
                  <c:v>5.5199999999999997E-4</c:v>
                </c:pt>
                <c:pt idx="38">
                  <c:v>1.4E-3</c:v>
                </c:pt>
                <c:pt idx="39">
                  <c:v>1.4E-3</c:v>
                </c:pt>
                <c:pt idx="40">
                  <c:v>2.1559999999999999E-3</c:v>
                </c:pt>
                <c:pt idx="41">
                  <c:v>3.333E-3</c:v>
                </c:pt>
                <c:pt idx="43">
                  <c:v>1.562E-3</c:v>
                </c:pt>
                <c:pt idx="44">
                  <c:v>1.678E-3</c:v>
                </c:pt>
                <c:pt idx="51">
                  <c:v>1.1709999999999999E-3</c:v>
                </c:pt>
                <c:pt idx="52">
                  <c:v>1.1709999999999999E-3</c:v>
                </c:pt>
                <c:pt idx="53">
                  <c:v>1.1709999999999999E-3</c:v>
                </c:pt>
                <c:pt idx="54">
                  <c:v>1.1709999999999999E-3</c:v>
                </c:pt>
                <c:pt idx="55">
                  <c:v>1.1709999999999999E-3</c:v>
                </c:pt>
                <c:pt idx="57">
                  <c:v>6.3599999999999996E-4</c:v>
                </c:pt>
                <c:pt idx="58">
                  <c:v>6.3599999999999996E-4</c:v>
                </c:pt>
                <c:pt idx="60">
                  <c:v>8.1499999999999997E-4</c:v>
                </c:pt>
                <c:pt idx="62">
                  <c:v>2.47E-3</c:v>
                </c:pt>
                <c:pt idx="63">
                  <c:v>2.47E-3</c:v>
                </c:pt>
                <c:pt idx="68">
                  <c:v>7.9799999999999992E-3</c:v>
                </c:pt>
                <c:pt idx="69">
                  <c:v>4.1840000000000002E-3</c:v>
                </c:pt>
                <c:pt idx="70">
                  <c:v>8.7399999999999999E-4</c:v>
                </c:pt>
                <c:pt idx="71">
                  <c:v>8.7399999999999999E-4</c:v>
                </c:pt>
                <c:pt idx="72">
                  <c:v>4.1840000000000002E-3</c:v>
                </c:pt>
                <c:pt idx="75">
                  <c:v>8.9999999999999998E-4</c:v>
                </c:pt>
                <c:pt idx="76">
                  <c:v>3.7729999999999999E-3</c:v>
                </c:pt>
                <c:pt idx="77">
                  <c:v>2.0079999999999998E-3</c:v>
                </c:pt>
                <c:pt idx="79">
                  <c:v>7.0299999999999996E-4</c:v>
                </c:pt>
                <c:pt idx="80">
                  <c:v>7.0299999999999996E-4</c:v>
                </c:pt>
                <c:pt idx="81">
                  <c:v>6.3769999999999999E-3</c:v>
                </c:pt>
                <c:pt idx="89">
                  <c:v>4.7999999999999996E-3</c:v>
                </c:pt>
                <c:pt idx="90">
                  <c:v>1.9959999999999999E-3</c:v>
                </c:pt>
                <c:pt idx="93">
                  <c:v>9.6500000000000004E-4</c:v>
                </c:pt>
                <c:pt idx="94">
                  <c:v>1.238E-3</c:v>
                </c:pt>
                <c:pt idx="95">
                  <c:v>9.7099999999999997E-4</c:v>
                </c:pt>
                <c:pt idx="96">
                  <c:v>9.7099999999999997E-4</c:v>
                </c:pt>
                <c:pt idx="97">
                  <c:v>1.6180000000000001E-3</c:v>
                </c:pt>
                <c:pt idx="98">
                  <c:v>1.0683E-2</c:v>
                </c:pt>
                <c:pt idx="99">
                  <c:v>1.408E-3</c:v>
                </c:pt>
                <c:pt idx="100">
                  <c:v>1.408E-3</c:v>
                </c:pt>
                <c:pt idx="103">
                  <c:v>2.0339999999999998E-3</c:v>
                </c:pt>
                <c:pt idx="104">
                  <c:v>2.0339999999999998E-3</c:v>
                </c:pt>
                <c:pt idx="106">
                  <c:v>1.01E-3</c:v>
                </c:pt>
                <c:pt idx="111">
                  <c:v>2.1289999999999998E-3</c:v>
                </c:pt>
                <c:pt idx="112">
                  <c:v>2.9979999999999998E-3</c:v>
                </c:pt>
              </c:numCache>
            </c:numRef>
          </c:xVal>
          <c:yVal>
            <c:numRef>
              <c:f>'Main Data Sheet'!$N$2:$N$114</c:f>
              <c:numCache>
                <c:formatCode>General</c:formatCode>
                <c:ptCount val="113"/>
                <c:pt idx="3">
                  <c:v>1800</c:v>
                </c:pt>
                <c:pt idx="4">
                  <c:v>1890</c:v>
                </c:pt>
                <c:pt idx="8">
                  <c:v>24310</c:v>
                </c:pt>
                <c:pt idx="9">
                  <c:v>9735</c:v>
                </c:pt>
                <c:pt idx="13">
                  <c:v>4500</c:v>
                </c:pt>
                <c:pt idx="14">
                  <c:v>1680</c:v>
                </c:pt>
                <c:pt idx="19">
                  <c:v>2312.5</c:v>
                </c:pt>
                <c:pt idx="20">
                  <c:v>4410</c:v>
                </c:pt>
                <c:pt idx="30">
                  <c:v>1838.98</c:v>
                </c:pt>
                <c:pt idx="31">
                  <c:v>7682.35</c:v>
                </c:pt>
                <c:pt idx="35">
                  <c:v>2060.92</c:v>
                </c:pt>
                <c:pt idx="38">
                  <c:v>1096</c:v>
                </c:pt>
                <c:pt idx="39">
                  <c:v>2423</c:v>
                </c:pt>
                <c:pt idx="43">
                  <c:v>1638.53</c:v>
                </c:pt>
                <c:pt idx="45">
                  <c:v>245.8</c:v>
                </c:pt>
                <c:pt idx="46">
                  <c:v>333.35</c:v>
                </c:pt>
                <c:pt idx="47">
                  <c:v>109.7</c:v>
                </c:pt>
                <c:pt idx="48">
                  <c:v>171.5</c:v>
                </c:pt>
                <c:pt idx="51">
                  <c:v>4610</c:v>
                </c:pt>
                <c:pt idx="52">
                  <c:v>4270</c:v>
                </c:pt>
                <c:pt idx="53">
                  <c:v>1870</c:v>
                </c:pt>
                <c:pt idx="60">
                  <c:v>33.51</c:v>
                </c:pt>
                <c:pt idx="76">
                  <c:v>4446</c:v>
                </c:pt>
                <c:pt idx="78">
                  <c:v>770.5</c:v>
                </c:pt>
                <c:pt idx="81">
                  <c:v>346</c:v>
                </c:pt>
                <c:pt idx="90">
                  <c:v>190.25</c:v>
                </c:pt>
                <c:pt idx="97">
                  <c:v>96.3</c:v>
                </c:pt>
                <c:pt idx="99">
                  <c:v>82.6</c:v>
                </c:pt>
                <c:pt idx="100">
                  <c:v>137.80000000000001</c:v>
                </c:pt>
                <c:pt idx="105">
                  <c:v>250.29400000000001</c:v>
                </c:pt>
                <c:pt idx="106">
                  <c:v>1379.3</c:v>
                </c:pt>
                <c:pt idx="111">
                  <c:v>2414</c:v>
                </c:pt>
                <c:pt idx="112">
                  <c:v>2143</c:v>
                </c:pt>
              </c:numCache>
            </c:numRef>
          </c:yVal>
          <c:smooth val="0"/>
          <c:extLst>
            <c:ext xmlns:c16="http://schemas.microsoft.com/office/drawing/2014/chart" uri="{C3380CC4-5D6E-409C-BE32-E72D297353CC}">
              <c16:uniqueId val="{00000001-6ADF-F143-A7A7-55AB16512BC1}"/>
            </c:ext>
          </c:extLst>
        </c:ser>
        <c:dLbls>
          <c:showLegendKey val="0"/>
          <c:showVal val="0"/>
          <c:showCatName val="0"/>
          <c:showSerName val="0"/>
          <c:showPercent val="0"/>
          <c:showBubbleSize val="0"/>
        </c:dLbls>
        <c:axId val="281939264"/>
        <c:axId val="281363568"/>
      </c:scatterChart>
      <c:valAx>
        <c:axId val="281939264"/>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363568"/>
        <c:crosses val="autoZero"/>
        <c:crossBetween val="midCat"/>
      </c:valAx>
      <c:valAx>
        <c:axId val="281363568"/>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93926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Corrected</a:t>
            </a:r>
            <a:r>
              <a:rPr lang="en-US" baseline="0"/>
              <a:t> and Uncorrected Elevated Cortisol vs. Body Mass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Uncorrected Elevated Cortisol</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41847056468930083"/>
                  <c:y val="0.16155378424200278"/>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1"/>
                        </a:solidFill>
                      </a:rPr>
                      <a:t>y = 3348.1x</a:t>
                    </a:r>
                    <a:r>
                      <a:rPr lang="en-US" sz="1400" baseline="30000">
                        <a:solidFill>
                          <a:schemeClr val="accent1"/>
                        </a:solidFill>
                      </a:rPr>
                      <a:t>-0.215</a:t>
                    </a:r>
                    <a:br>
                      <a:rPr lang="en-US" sz="1400" baseline="0">
                        <a:solidFill>
                          <a:schemeClr val="accent1"/>
                        </a:solidFill>
                      </a:rPr>
                    </a:br>
                    <a:r>
                      <a:rPr lang="en-US" sz="1400" baseline="0">
                        <a:solidFill>
                          <a:schemeClr val="accent1"/>
                        </a:solidFill>
                      </a:rPr>
                      <a:t>R² = 0.0177</a:t>
                    </a:r>
                    <a:endParaRPr lang="en-US" sz="1800">
                      <a:solidFill>
                        <a:schemeClr val="accent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'Corrected &amp; Uncorrected Graphs'!$AD$3:$AD$101</c:f>
              <c:numCache>
                <c:formatCode>#,##0</c:formatCode>
                <c:ptCount val="99"/>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2">
                  <c:v>7000</c:v>
                </c:pt>
                <c:pt idx="23">
                  <c:v>2643</c:v>
                </c:pt>
                <c:pt idx="24">
                  <c:v>2643</c:v>
                </c:pt>
                <c:pt idx="25">
                  <c:v>2643</c:v>
                </c:pt>
                <c:pt idx="26">
                  <c:v>2643</c:v>
                </c:pt>
                <c:pt idx="27" formatCode="General">
                  <c:v>2800</c:v>
                </c:pt>
                <c:pt idx="28" formatCode="#,##0.00">
                  <c:v>38446.1</c:v>
                </c:pt>
                <c:pt idx="29">
                  <c:v>45.2</c:v>
                </c:pt>
                <c:pt idx="30">
                  <c:v>45.2</c:v>
                </c:pt>
                <c:pt idx="31">
                  <c:v>117500</c:v>
                </c:pt>
                <c:pt idx="32">
                  <c:v>102500</c:v>
                </c:pt>
                <c:pt idx="33">
                  <c:v>750000</c:v>
                </c:pt>
                <c:pt idx="34">
                  <c:v>434000</c:v>
                </c:pt>
                <c:pt idx="35" formatCode="General">
                  <c:v>22983.200000000001</c:v>
                </c:pt>
                <c:pt idx="36">
                  <c:v>61000</c:v>
                </c:pt>
                <c:pt idx="37">
                  <c:v>61000</c:v>
                </c:pt>
                <c:pt idx="38">
                  <c:v>21667</c:v>
                </c:pt>
                <c:pt idx="39" formatCode="General">
                  <c:v>728</c:v>
                </c:pt>
                <c:pt idx="40">
                  <c:v>2175000</c:v>
                </c:pt>
                <c:pt idx="41">
                  <c:v>6500</c:v>
                </c:pt>
                <c:pt idx="42">
                  <c:v>200000</c:v>
                </c:pt>
                <c:pt idx="43">
                  <c:v>215000</c:v>
                </c:pt>
                <c:pt idx="44">
                  <c:v>215000</c:v>
                </c:pt>
                <c:pt idx="45">
                  <c:v>215000</c:v>
                </c:pt>
                <c:pt idx="46">
                  <c:v>215000</c:v>
                </c:pt>
                <c:pt idx="47">
                  <c:v>215000</c:v>
                </c:pt>
                <c:pt idx="48">
                  <c:v>164500</c:v>
                </c:pt>
                <c:pt idx="49">
                  <c:v>164500</c:v>
                </c:pt>
                <c:pt idx="50">
                  <c:v>164500</c:v>
                </c:pt>
                <c:pt idx="51">
                  <c:v>164500</c:v>
                </c:pt>
                <c:pt idx="52">
                  <c:v>63000</c:v>
                </c:pt>
                <c:pt idx="53">
                  <c:v>3178000</c:v>
                </c:pt>
                <c:pt idx="54">
                  <c:v>3178000</c:v>
                </c:pt>
                <c:pt idx="55">
                  <c:v>444900</c:v>
                </c:pt>
                <c:pt idx="56">
                  <c:v>384000</c:v>
                </c:pt>
                <c:pt idx="57">
                  <c:v>3900</c:v>
                </c:pt>
                <c:pt idx="58">
                  <c:v>20.87</c:v>
                </c:pt>
                <c:pt idx="59">
                  <c:v>30</c:v>
                </c:pt>
                <c:pt idx="60">
                  <c:v>37</c:v>
                </c:pt>
                <c:pt idx="61">
                  <c:v>800000</c:v>
                </c:pt>
                <c:pt idx="62">
                  <c:v>1600</c:v>
                </c:pt>
                <c:pt idx="63">
                  <c:v>4175</c:v>
                </c:pt>
                <c:pt idx="64">
                  <c:v>4175</c:v>
                </c:pt>
                <c:pt idx="65" formatCode="General">
                  <c:v>3940034</c:v>
                </c:pt>
                <c:pt idx="66">
                  <c:v>26500</c:v>
                </c:pt>
                <c:pt idx="67">
                  <c:v>3500</c:v>
                </c:pt>
                <c:pt idx="68">
                  <c:v>17000</c:v>
                </c:pt>
                <c:pt idx="69">
                  <c:v>100000</c:v>
                </c:pt>
                <c:pt idx="70" formatCode="General">
                  <c:v>105</c:v>
                </c:pt>
                <c:pt idx="71">
                  <c:v>12000</c:v>
                </c:pt>
                <c:pt idx="72">
                  <c:v>1332</c:v>
                </c:pt>
                <c:pt idx="73">
                  <c:v>1021</c:v>
                </c:pt>
                <c:pt idx="74">
                  <c:v>19500</c:v>
                </c:pt>
                <c:pt idx="75" formatCode="General">
                  <c:v>235</c:v>
                </c:pt>
                <c:pt idx="76">
                  <c:v>87000</c:v>
                </c:pt>
                <c:pt idx="77">
                  <c:v>315000</c:v>
                </c:pt>
                <c:pt idx="78">
                  <c:v>175000</c:v>
                </c:pt>
                <c:pt idx="79">
                  <c:v>81150</c:v>
                </c:pt>
                <c:pt idx="80">
                  <c:v>119700</c:v>
                </c:pt>
                <c:pt idx="81">
                  <c:v>119700</c:v>
                </c:pt>
                <c:pt idx="82">
                  <c:v>20200</c:v>
                </c:pt>
                <c:pt idx="83" formatCode="General">
                  <c:v>21</c:v>
                </c:pt>
                <c:pt idx="84">
                  <c:v>10650</c:v>
                </c:pt>
                <c:pt idx="85">
                  <c:v>101250</c:v>
                </c:pt>
                <c:pt idx="86">
                  <c:v>101250</c:v>
                </c:pt>
                <c:pt idx="87">
                  <c:v>1602330</c:v>
                </c:pt>
                <c:pt idx="88" formatCode="General">
                  <c:v>412.5</c:v>
                </c:pt>
                <c:pt idx="89">
                  <c:v>776</c:v>
                </c:pt>
                <c:pt idx="90">
                  <c:v>700000</c:v>
                </c:pt>
                <c:pt idx="91">
                  <c:v>4500</c:v>
                </c:pt>
                <c:pt idx="92">
                  <c:v>1500</c:v>
                </c:pt>
                <c:pt idx="93">
                  <c:v>413</c:v>
                </c:pt>
                <c:pt idx="94">
                  <c:v>277500</c:v>
                </c:pt>
                <c:pt idx="95">
                  <c:v>475000</c:v>
                </c:pt>
                <c:pt idx="96">
                  <c:v>103750</c:v>
                </c:pt>
                <c:pt idx="97">
                  <c:v>5200</c:v>
                </c:pt>
                <c:pt idx="98">
                  <c:v>4132</c:v>
                </c:pt>
              </c:numCache>
            </c:numRef>
          </c:xVal>
          <c:yVal>
            <c:numRef>
              <c:f>'Corrected &amp; Uncorrected Graphs'!$E$3:$E$101</c:f>
              <c:numCache>
                <c:formatCode>General</c:formatCode>
                <c:ptCount val="99"/>
                <c:pt idx="0">
                  <c:v>3798.55</c:v>
                </c:pt>
                <c:pt idx="1">
                  <c:v>1012.48</c:v>
                </c:pt>
                <c:pt idx="2">
                  <c:v>6961</c:v>
                </c:pt>
                <c:pt idx="6">
                  <c:v>40</c:v>
                </c:pt>
                <c:pt idx="7">
                  <c:v>188.5</c:v>
                </c:pt>
                <c:pt idx="11">
                  <c:v>80.245000000000005</c:v>
                </c:pt>
                <c:pt idx="12">
                  <c:v>1940</c:v>
                </c:pt>
                <c:pt idx="16">
                  <c:v>209.113</c:v>
                </c:pt>
                <c:pt idx="17">
                  <c:v>5.15</c:v>
                </c:pt>
                <c:pt idx="21">
                  <c:v>37</c:v>
                </c:pt>
                <c:pt idx="26">
                  <c:v>121250</c:v>
                </c:pt>
                <c:pt idx="27">
                  <c:v>43600</c:v>
                </c:pt>
                <c:pt idx="28">
                  <c:v>1850.3</c:v>
                </c:pt>
                <c:pt idx="31">
                  <c:v>179.49199999999999</c:v>
                </c:pt>
                <c:pt idx="34">
                  <c:v>2060.92</c:v>
                </c:pt>
                <c:pt idx="35">
                  <c:v>969.85</c:v>
                </c:pt>
                <c:pt idx="38">
                  <c:v>459</c:v>
                </c:pt>
                <c:pt idx="40">
                  <c:v>28.3</c:v>
                </c:pt>
                <c:pt idx="47">
                  <c:v>19.2</c:v>
                </c:pt>
                <c:pt idx="51">
                  <c:v>115</c:v>
                </c:pt>
                <c:pt idx="52">
                  <c:v>744.95</c:v>
                </c:pt>
                <c:pt idx="57">
                  <c:v>384.6</c:v>
                </c:pt>
                <c:pt idx="61">
                  <c:v>49.3</c:v>
                </c:pt>
                <c:pt idx="62" formatCode="#,##0">
                  <c:v>11130</c:v>
                </c:pt>
                <c:pt idx="69">
                  <c:v>1428.8</c:v>
                </c:pt>
                <c:pt idx="71">
                  <c:v>65.816100000000006</c:v>
                </c:pt>
                <c:pt idx="72">
                  <c:v>104.2</c:v>
                </c:pt>
                <c:pt idx="73">
                  <c:v>324.60000000000002</c:v>
                </c:pt>
                <c:pt idx="74">
                  <c:v>1100.7</c:v>
                </c:pt>
                <c:pt idx="75">
                  <c:v>272.02499999999998</c:v>
                </c:pt>
                <c:pt idx="77">
                  <c:v>14.9099</c:v>
                </c:pt>
                <c:pt idx="78">
                  <c:v>24.7638</c:v>
                </c:pt>
                <c:pt idx="79">
                  <c:v>820.9</c:v>
                </c:pt>
                <c:pt idx="87">
                  <c:v>35.28</c:v>
                </c:pt>
                <c:pt idx="88">
                  <c:v>416.87</c:v>
                </c:pt>
                <c:pt idx="89">
                  <c:v>614.1</c:v>
                </c:pt>
                <c:pt idx="91">
                  <c:v>3748</c:v>
                </c:pt>
                <c:pt idx="92">
                  <c:v>1379.3</c:v>
                </c:pt>
                <c:pt idx="94">
                  <c:v>112.455</c:v>
                </c:pt>
                <c:pt idx="96">
                  <c:v>369.6</c:v>
                </c:pt>
              </c:numCache>
            </c:numRef>
          </c:yVal>
          <c:smooth val="0"/>
          <c:extLst>
            <c:ext xmlns:c16="http://schemas.microsoft.com/office/drawing/2014/chart" uri="{C3380CC4-5D6E-409C-BE32-E72D297353CC}">
              <c16:uniqueId val="{00000000-7227-974F-966C-458A05487827}"/>
            </c:ext>
          </c:extLst>
        </c:ser>
        <c:ser>
          <c:idx val="1"/>
          <c:order val="1"/>
          <c:tx>
            <c:v>Corrected Elevated Cortisol</c:v>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4.4357217954968435E-2"/>
                  <c:y val="-0.14502547772678437"/>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2"/>
                        </a:solidFill>
                      </a:rPr>
                      <a:t>y = 3418.6x</a:t>
                    </a:r>
                    <a:r>
                      <a:rPr lang="en-US" sz="1400" baseline="30000">
                        <a:solidFill>
                          <a:schemeClr val="accent2"/>
                        </a:solidFill>
                      </a:rPr>
                      <a:t>-0.297</a:t>
                    </a:r>
                    <a:br>
                      <a:rPr lang="en-US" sz="1400" baseline="0">
                        <a:solidFill>
                          <a:schemeClr val="accent2"/>
                        </a:solidFill>
                      </a:rPr>
                    </a:br>
                    <a:r>
                      <a:rPr lang="en-US" sz="1400" baseline="0">
                        <a:solidFill>
                          <a:schemeClr val="accent2"/>
                        </a:solidFill>
                      </a:rPr>
                      <a:t>R² = 0.006</a:t>
                    </a:r>
                    <a:endParaRPr lang="en-US" sz="1400">
                      <a:solidFill>
                        <a:schemeClr val="accent2"/>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'Corrected &amp; Uncorrected Graphs'!$AD$3:$AD$101</c:f>
              <c:numCache>
                <c:formatCode>#,##0</c:formatCode>
                <c:ptCount val="99"/>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2">
                  <c:v>7000</c:v>
                </c:pt>
                <c:pt idx="23">
                  <c:v>2643</c:v>
                </c:pt>
                <c:pt idx="24">
                  <c:v>2643</c:v>
                </c:pt>
                <c:pt idx="25">
                  <c:v>2643</c:v>
                </c:pt>
                <c:pt idx="26">
                  <c:v>2643</c:v>
                </c:pt>
                <c:pt idx="27" formatCode="General">
                  <c:v>2800</c:v>
                </c:pt>
                <c:pt idx="28" formatCode="#,##0.00">
                  <c:v>38446.1</c:v>
                </c:pt>
                <c:pt idx="29">
                  <c:v>45.2</c:v>
                </c:pt>
                <c:pt idx="30">
                  <c:v>45.2</c:v>
                </c:pt>
                <c:pt idx="31">
                  <c:v>117500</c:v>
                </c:pt>
                <c:pt idx="32">
                  <c:v>102500</c:v>
                </c:pt>
                <c:pt idx="33">
                  <c:v>750000</c:v>
                </c:pt>
                <c:pt idx="34">
                  <c:v>434000</c:v>
                </c:pt>
                <c:pt idx="35" formatCode="General">
                  <c:v>22983.200000000001</c:v>
                </c:pt>
                <c:pt idx="36">
                  <c:v>61000</c:v>
                </c:pt>
                <c:pt idx="37">
                  <c:v>61000</c:v>
                </c:pt>
                <c:pt idx="38">
                  <c:v>21667</c:v>
                </c:pt>
                <c:pt idx="39" formatCode="General">
                  <c:v>728</c:v>
                </c:pt>
                <c:pt idx="40">
                  <c:v>2175000</c:v>
                </c:pt>
                <c:pt idx="41">
                  <c:v>6500</c:v>
                </c:pt>
                <c:pt idx="42">
                  <c:v>200000</c:v>
                </c:pt>
                <c:pt idx="43">
                  <c:v>215000</c:v>
                </c:pt>
                <c:pt idx="44">
                  <c:v>215000</c:v>
                </c:pt>
                <c:pt idx="45">
                  <c:v>215000</c:v>
                </c:pt>
                <c:pt idx="46">
                  <c:v>215000</c:v>
                </c:pt>
                <c:pt idx="47">
                  <c:v>215000</c:v>
                </c:pt>
                <c:pt idx="48">
                  <c:v>164500</c:v>
                </c:pt>
                <c:pt idx="49">
                  <c:v>164500</c:v>
                </c:pt>
                <c:pt idx="50">
                  <c:v>164500</c:v>
                </c:pt>
                <c:pt idx="51">
                  <c:v>164500</c:v>
                </c:pt>
                <c:pt idx="52">
                  <c:v>63000</c:v>
                </c:pt>
                <c:pt idx="53">
                  <c:v>3178000</c:v>
                </c:pt>
                <c:pt idx="54">
                  <c:v>3178000</c:v>
                </c:pt>
                <c:pt idx="55">
                  <c:v>444900</c:v>
                </c:pt>
                <c:pt idx="56">
                  <c:v>384000</c:v>
                </c:pt>
                <c:pt idx="57">
                  <c:v>3900</c:v>
                </c:pt>
                <c:pt idx="58">
                  <c:v>20.87</c:v>
                </c:pt>
                <c:pt idx="59">
                  <c:v>30</c:v>
                </c:pt>
                <c:pt idx="60">
                  <c:v>37</c:v>
                </c:pt>
                <c:pt idx="61">
                  <c:v>800000</c:v>
                </c:pt>
                <c:pt idx="62">
                  <c:v>1600</c:v>
                </c:pt>
                <c:pt idx="63">
                  <c:v>4175</c:v>
                </c:pt>
                <c:pt idx="64">
                  <c:v>4175</c:v>
                </c:pt>
                <c:pt idx="65" formatCode="General">
                  <c:v>3940034</c:v>
                </c:pt>
                <c:pt idx="66">
                  <c:v>26500</c:v>
                </c:pt>
                <c:pt idx="67">
                  <c:v>3500</c:v>
                </c:pt>
                <c:pt idx="68">
                  <c:v>17000</c:v>
                </c:pt>
                <c:pt idx="69">
                  <c:v>100000</c:v>
                </c:pt>
                <c:pt idx="70" formatCode="General">
                  <c:v>105</c:v>
                </c:pt>
                <c:pt idx="71">
                  <c:v>12000</c:v>
                </c:pt>
                <c:pt idx="72">
                  <c:v>1332</c:v>
                </c:pt>
                <c:pt idx="73">
                  <c:v>1021</c:v>
                </c:pt>
                <c:pt idx="74">
                  <c:v>19500</c:v>
                </c:pt>
                <c:pt idx="75" formatCode="General">
                  <c:v>235</c:v>
                </c:pt>
                <c:pt idx="76">
                  <c:v>87000</c:v>
                </c:pt>
                <c:pt idx="77">
                  <c:v>315000</c:v>
                </c:pt>
                <c:pt idx="78">
                  <c:v>175000</c:v>
                </c:pt>
                <c:pt idx="79">
                  <c:v>81150</c:v>
                </c:pt>
                <c:pt idx="80">
                  <c:v>119700</c:v>
                </c:pt>
                <c:pt idx="81">
                  <c:v>119700</c:v>
                </c:pt>
                <c:pt idx="82">
                  <c:v>20200</c:v>
                </c:pt>
                <c:pt idx="83" formatCode="General">
                  <c:v>21</c:v>
                </c:pt>
                <c:pt idx="84">
                  <c:v>10650</c:v>
                </c:pt>
                <c:pt idx="85">
                  <c:v>101250</c:v>
                </c:pt>
                <c:pt idx="86">
                  <c:v>101250</c:v>
                </c:pt>
                <c:pt idx="87">
                  <c:v>1602330</c:v>
                </c:pt>
                <c:pt idx="88" formatCode="General">
                  <c:v>412.5</c:v>
                </c:pt>
                <c:pt idx="89">
                  <c:v>776</c:v>
                </c:pt>
                <c:pt idx="90">
                  <c:v>700000</c:v>
                </c:pt>
                <c:pt idx="91">
                  <c:v>4500</c:v>
                </c:pt>
                <c:pt idx="92">
                  <c:v>1500</c:v>
                </c:pt>
                <c:pt idx="93">
                  <c:v>413</c:v>
                </c:pt>
                <c:pt idx="94">
                  <c:v>277500</c:v>
                </c:pt>
                <c:pt idx="95">
                  <c:v>475000</c:v>
                </c:pt>
                <c:pt idx="96">
                  <c:v>103750</c:v>
                </c:pt>
                <c:pt idx="97">
                  <c:v>5200</c:v>
                </c:pt>
                <c:pt idx="98">
                  <c:v>4132</c:v>
                </c:pt>
              </c:numCache>
            </c:numRef>
          </c:xVal>
          <c:yVal>
            <c:numRef>
              <c:f>'Corrected &amp; Uncorrected Graphs'!$O$3:$O$101</c:f>
              <c:numCache>
                <c:formatCode>General</c:formatCode>
                <c:ptCount val="99"/>
                <c:pt idx="6">
                  <c:v>16</c:v>
                </c:pt>
                <c:pt idx="7">
                  <c:v>188.5</c:v>
                </c:pt>
                <c:pt idx="11">
                  <c:v>80.245000000000005</c:v>
                </c:pt>
                <c:pt idx="12">
                  <c:v>776</c:v>
                </c:pt>
                <c:pt idx="16">
                  <c:v>83.645200000000003</c:v>
                </c:pt>
                <c:pt idx="17">
                  <c:v>2.06</c:v>
                </c:pt>
                <c:pt idx="21">
                  <c:v>14.8</c:v>
                </c:pt>
                <c:pt idx="26">
                  <c:v>121250</c:v>
                </c:pt>
                <c:pt idx="27">
                  <c:v>43.6</c:v>
                </c:pt>
                <c:pt idx="28">
                  <c:v>1850.3</c:v>
                </c:pt>
                <c:pt idx="31">
                  <c:v>179.49199999999999</c:v>
                </c:pt>
                <c:pt idx="34">
                  <c:v>824.36800000000005</c:v>
                </c:pt>
                <c:pt idx="35">
                  <c:v>969.85</c:v>
                </c:pt>
                <c:pt idx="38">
                  <c:v>183.6</c:v>
                </c:pt>
                <c:pt idx="40">
                  <c:v>28.3</c:v>
                </c:pt>
                <c:pt idx="47">
                  <c:v>7.68</c:v>
                </c:pt>
                <c:pt idx="51">
                  <c:v>115</c:v>
                </c:pt>
                <c:pt idx="52">
                  <c:v>297.98</c:v>
                </c:pt>
                <c:pt idx="57">
                  <c:v>384.6</c:v>
                </c:pt>
                <c:pt idx="61">
                  <c:v>49.3</c:v>
                </c:pt>
                <c:pt idx="69">
                  <c:v>1428.8</c:v>
                </c:pt>
                <c:pt idx="71">
                  <c:v>65.816100000000006</c:v>
                </c:pt>
                <c:pt idx="72">
                  <c:v>104.2</c:v>
                </c:pt>
                <c:pt idx="73">
                  <c:v>324.60000000000002</c:v>
                </c:pt>
                <c:pt idx="74">
                  <c:v>1100.7</c:v>
                </c:pt>
                <c:pt idx="75">
                  <c:v>272.02499999999998</c:v>
                </c:pt>
                <c:pt idx="77">
                  <c:v>5.9639600000000002</c:v>
                </c:pt>
                <c:pt idx="78">
                  <c:v>24.7638</c:v>
                </c:pt>
                <c:pt idx="79">
                  <c:v>820.9</c:v>
                </c:pt>
                <c:pt idx="87">
                  <c:v>35.28</c:v>
                </c:pt>
                <c:pt idx="88">
                  <c:v>416.87</c:v>
                </c:pt>
                <c:pt idx="89">
                  <c:v>614.1</c:v>
                </c:pt>
                <c:pt idx="91">
                  <c:v>1499.2</c:v>
                </c:pt>
                <c:pt idx="92">
                  <c:v>1379.3</c:v>
                </c:pt>
                <c:pt idx="94">
                  <c:v>112.455</c:v>
                </c:pt>
                <c:pt idx="96">
                  <c:v>369.6</c:v>
                </c:pt>
              </c:numCache>
            </c:numRef>
          </c:yVal>
          <c:smooth val="0"/>
          <c:extLst>
            <c:ext xmlns:c16="http://schemas.microsoft.com/office/drawing/2014/chart" uri="{C3380CC4-5D6E-409C-BE32-E72D297353CC}">
              <c16:uniqueId val="{00000001-7227-974F-966C-458A05487827}"/>
            </c:ext>
          </c:extLst>
        </c:ser>
        <c:dLbls>
          <c:showLegendKey val="0"/>
          <c:showVal val="0"/>
          <c:showCatName val="0"/>
          <c:showSerName val="0"/>
          <c:showPercent val="0"/>
          <c:showBubbleSize val="0"/>
        </c:dLbls>
        <c:axId val="1679137024"/>
        <c:axId val="1651371968"/>
      </c:scatterChart>
      <c:valAx>
        <c:axId val="1679137024"/>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371968"/>
        <c:crosses val="autoZero"/>
        <c:crossBetween val="midCat"/>
      </c:valAx>
      <c:valAx>
        <c:axId val="1651371968"/>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1370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Corrected</a:t>
            </a:r>
            <a:r>
              <a:rPr lang="en-US" baseline="0"/>
              <a:t> and Uncorrected Basal Cortisol vs. Body Mass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Uncorrected Basal Cortisol</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48569621744570551"/>
                  <c:y val="-0.39228743869520216"/>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1"/>
                        </a:solidFill>
                      </a:rPr>
                      <a:t>y = 1662.9x</a:t>
                    </a:r>
                    <a:r>
                      <a:rPr lang="en-US" sz="1400" baseline="30000">
                        <a:solidFill>
                          <a:schemeClr val="accent1"/>
                        </a:solidFill>
                      </a:rPr>
                      <a:t>-0.274</a:t>
                    </a:r>
                    <a:br>
                      <a:rPr lang="en-US" sz="1400" baseline="0">
                        <a:solidFill>
                          <a:schemeClr val="accent1"/>
                        </a:solidFill>
                      </a:rPr>
                    </a:br>
                    <a:r>
                      <a:rPr lang="en-US" sz="1400" baseline="0">
                        <a:solidFill>
                          <a:schemeClr val="accent1"/>
                        </a:solidFill>
                      </a:rPr>
                      <a:t>R² = 0.0234</a:t>
                    </a:r>
                    <a:endParaRPr lang="en-US" sz="1400">
                      <a:solidFill>
                        <a:schemeClr val="accent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'Corrected &amp; Uncorrected Graphs'!$AD$3:$AD$101</c:f>
              <c:numCache>
                <c:formatCode>#,##0</c:formatCode>
                <c:ptCount val="99"/>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2">
                  <c:v>7000</c:v>
                </c:pt>
                <c:pt idx="23">
                  <c:v>2643</c:v>
                </c:pt>
                <c:pt idx="24">
                  <c:v>2643</c:v>
                </c:pt>
                <c:pt idx="25">
                  <c:v>2643</c:v>
                </c:pt>
                <c:pt idx="26">
                  <c:v>2643</c:v>
                </c:pt>
                <c:pt idx="27" formatCode="General">
                  <c:v>2800</c:v>
                </c:pt>
                <c:pt idx="28" formatCode="#,##0.00">
                  <c:v>38446.1</c:v>
                </c:pt>
                <c:pt idx="29">
                  <c:v>45.2</c:v>
                </c:pt>
                <c:pt idx="30">
                  <c:v>45.2</c:v>
                </c:pt>
                <c:pt idx="31">
                  <c:v>117500</c:v>
                </c:pt>
                <c:pt idx="32">
                  <c:v>102500</c:v>
                </c:pt>
                <c:pt idx="33">
                  <c:v>750000</c:v>
                </c:pt>
                <c:pt idx="34">
                  <c:v>434000</c:v>
                </c:pt>
                <c:pt idx="35" formatCode="General">
                  <c:v>22983.200000000001</c:v>
                </c:pt>
                <c:pt idx="36">
                  <c:v>61000</c:v>
                </c:pt>
                <c:pt idx="37">
                  <c:v>61000</c:v>
                </c:pt>
                <c:pt idx="38">
                  <c:v>21667</c:v>
                </c:pt>
                <c:pt idx="39" formatCode="General">
                  <c:v>728</c:v>
                </c:pt>
                <c:pt idx="40">
                  <c:v>2175000</c:v>
                </c:pt>
                <c:pt idx="41">
                  <c:v>6500</c:v>
                </c:pt>
                <c:pt idx="42">
                  <c:v>200000</c:v>
                </c:pt>
                <c:pt idx="43">
                  <c:v>215000</c:v>
                </c:pt>
                <c:pt idx="44">
                  <c:v>215000</c:v>
                </c:pt>
                <c:pt idx="45">
                  <c:v>215000</c:v>
                </c:pt>
                <c:pt idx="46">
                  <c:v>215000</c:v>
                </c:pt>
                <c:pt idx="47">
                  <c:v>215000</c:v>
                </c:pt>
                <c:pt idx="48">
                  <c:v>164500</c:v>
                </c:pt>
                <c:pt idx="49">
                  <c:v>164500</c:v>
                </c:pt>
                <c:pt idx="50">
                  <c:v>164500</c:v>
                </c:pt>
                <c:pt idx="51">
                  <c:v>164500</c:v>
                </c:pt>
                <c:pt idx="52">
                  <c:v>63000</c:v>
                </c:pt>
                <c:pt idx="53">
                  <c:v>3178000</c:v>
                </c:pt>
                <c:pt idx="54">
                  <c:v>3178000</c:v>
                </c:pt>
                <c:pt idx="55">
                  <c:v>444900</c:v>
                </c:pt>
                <c:pt idx="56">
                  <c:v>384000</c:v>
                </c:pt>
                <c:pt idx="57">
                  <c:v>3900</c:v>
                </c:pt>
                <c:pt idx="58">
                  <c:v>20.87</c:v>
                </c:pt>
                <c:pt idx="59">
                  <c:v>30</c:v>
                </c:pt>
                <c:pt idx="60">
                  <c:v>37</c:v>
                </c:pt>
                <c:pt idx="61">
                  <c:v>800000</c:v>
                </c:pt>
                <c:pt idx="62">
                  <c:v>1600</c:v>
                </c:pt>
                <c:pt idx="63">
                  <c:v>4175</c:v>
                </c:pt>
                <c:pt idx="64">
                  <c:v>4175</c:v>
                </c:pt>
                <c:pt idx="65" formatCode="General">
                  <c:v>3940034</c:v>
                </c:pt>
                <c:pt idx="66">
                  <c:v>26500</c:v>
                </c:pt>
                <c:pt idx="67">
                  <c:v>3500</c:v>
                </c:pt>
                <c:pt idx="68">
                  <c:v>17000</c:v>
                </c:pt>
                <c:pt idx="69">
                  <c:v>100000</c:v>
                </c:pt>
                <c:pt idx="70" formatCode="General">
                  <c:v>105</c:v>
                </c:pt>
                <c:pt idx="71">
                  <c:v>12000</c:v>
                </c:pt>
                <c:pt idx="72">
                  <c:v>1332</c:v>
                </c:pt>
                <c:pt idx="73">
                  <c:v>1021</c:v>
                </c:pt>
                <c:pt idx="74">
                  <c:v>19500</c:v>
                </c:pt>
                <c:pt idx="75" formatCode="General">
                  <c:v>235</c:v>
                </c:pt>
                <c:pt idx="76">
                  <c:v>87000</c:v>
                </c:pt>
                <c:pt idx="77">
                  <c:v>315000</c:v>
                </c:pt>
                <c:pt idx="78">
                  <c:v>175000</c:v>
                </c:pt>
                <c:pt idx="79">
                  <c:v>81150</c:v>
                </c:pt>
                <c:pt idx="80">
                  <c:v>119700</c:v>
                </c:pt>
                <c:pt idx="81">
                  <c:v>119700</c:v>
                </c:pt>
                <c:pt idx="82">
                  <c:v>20200</c:v>
                </c:pt>
                <c:pt idx="83" formatCode="General">
                  <c:v>21</c:v>
                </c:pt>
                <c:pt idx="84">
                  <c:v>10650</c:v>
                </c:pt>
                <c:pt idx="85">
                  <c:v>101250</c:v>
                </c:pt>
                <c:pt idx="86">
                  <c:v>101250</c:v>
                </c:pt>
                <c:pt idx="87">
                  <c:v>1602330</c:v>
                </c:pt>
                <c:pt idx="88" formatCode="General">
                  <c:v>412.5</c:v>
                </c:pt>
                <c:pt idx="89">
                  <c:v>776</c:v>
                </c:pt>
                <c:pt idx="90">
                  <c:v>700000</c:v>
                </c:pt>
                <c:pt idx="91">
                  <c:v>4500</c:v>
                </c:pt>
                <c:pt idx="92">
                  <c:v>1500</c:v>
                </c:pt>
                <c:pt idx="93">
                  <c:v>413</c:v>
                </c:pt>
                <c:pt idx="94">
                  <c:v>277500</c:v>
                </c:pt>
                <c:pt idx="95">
                  <c:v>475000</c:v>
                </c:pt>
                <c:pt idx="96">
                  <c:v>103750</c:v>
                </c:pt>
                <c:pt idx="97">
                  <c:v>5200</c:v>
                </c:pt>
                <c:pt idx="98">
                  <c:v>4132</c:v>
                </c:pt>
              </c:numCache>
            </c:numRef>
          </c:xVal>
          <c:yVal>
            <c:numRef>
              <c:f>'Corrected &amp; Uncorrected Graphs'!$C$3:$C$101</c:f>
              <c:numCache>
                <c:formatCode>General</c:formatCode>
                <c:ptCount val="99"/>
                <c:pt idx="0">
                  <c:v>51.7</c:v>
                </c:pt>
                <c:pt idx="1">
                  <c:v>197.69300000000001</c:v>
                </c:pt>
                <c:pt idx="2">
                  <c:v>1501</c:v>
                </c:pt>
                <c:pt idx="6">
                  <c:v>20</c:v>
                </c:pt>
                <c:pt idx="7">
                  <c:v>35.5</c:v>
                </c:pt>
                <c:pt idx="11">
                  <c:v>51.505000000000003</c:v>
                </c:pt>
                <c:pt idx="12">
                  <c:v>420</c:v>
                </c:pt>
                <c:pt idx="16">
                  <c:v>25.683</c:v>
                </c:pt>
                <c:pt idx="17">
                  <c:v>3.2</c:v>
                </c:pt>
                <c:pt idx="18">
                  <c:v>63.3</c:v>
                </c:pt>
                <c:pt idx="21">
                  <c:v>21</c:v>
                </c:pt>
                <c:pt idx="26">
                  <c:v>7860</c:v>
                </c:pt>
                <c:pt idx="27">
                  <c:v>4375</c:v>
                </c:pt>
                <c:pt idx="28">
                  <c:v>618.5</c:v>
                </c:pt>
                <c:pt idx="31">
                  <c:v>114.66</c:v>
                </c:pt>
                <c:pt idx="34">
                  <c:v>503.9</c:v>
                </c:pt>
                <c:pt idx="35">
                  <c:v>312.55</c:v>
                </c:pt>
                <c:pt idx="38">
                  <c:v>60.92</c:v>
                </c:pt>
                <c:pt idx="39">
                  <c:v>349.23</c:v>
                </c:pt>
                <c:pt idx="40">
                  <c:v>4.0999999999999996</c:v>
                </c:pt>
                <c:pt idx="47">
                  <c:v>6.3</c:v>
                </c:pt>
                <c:pt idx="51">
                  <c:v>30</c:v>
                </c:pt>
                <c:pt idx="52">
                  <c:v>43.75</c:v>
                </c:pt>
                <c:pt idx="53">
                  <c:v>49.643599999999999</c:v>
                </c:pt>
                <c:pt idx="57">
                  <c:v>213.6</c:v>
                </c:pt>
                <c:pt idx="61">
                  <c:v>23.725000000000001</c:v>
                </c:pt>
                <c:pt idx="62">
                  <c:v>1054</c:v>
                </c:pt>
                <c:pt idx="69">
                  <c:v>48.7</c:v>
                </c:pt>
                <c:pt idx="71">
                  <c:v>47.548299999999998</c:v>
                </c:pt>
                <c:pt idx="72">
                  <c:v>58.4</c:v>
                </c:pt>
                <c:pt idx="73">
                  <c:v>170.1</c:v>
                </c:pt>
                <c:pt idx="74">
                  <c:v>248.8</c:v>
                </c:pt>
                <c:pt idx="75">
                  <c:v>138.59800000000001</c:v>
                </c:pt>
                <c:pt idx="77">
                  <c:v>64.122</c:v>
                </c:pt>
                <c:pt idx="78">
                  <c:v>15.4489</c:v>
                </c:pt>
                <c:pt idx="79">
                  <c:v>307.8</c:v>
                </c:pt>
                <c:pt idx="87">
                  <c:v>9.66</c:v>
                </c:pt>
                <c:pt idx="88">
                  <c:v>263.02999999999997</c:v>
                </c:pt>
                <c:pt idx="89">
                  <c:v>110.2</c:v>
                </c:pt>
                <c:pt idx="91">
                  <c:v>2625</c:v>
                </c:pt>
                <c:pt idx="92">
                  <c:v>642.1</c:v>
                </c:pt>
                <c:pt idx="94">
                  <c:v>19.042999999999999</c:v>
                </c:pt>
                <c:pt idx="96">
                  <c:v>80.7</c:v>
                </c:pt>
              </c:numCache>
            </c:numRef>
          </c:yVal>
          <c:smooth val="0"/>
          <c:extLst>
            <c:ext xmlns:c16="http://schemas.microsoft.com/office/drawing/2014/chart" uri="{C3380CC4-5D6E-409C-BE32-E72D297353CC}">
              <c16:uniqueId val="{00000000-DEEC-3746-8BED-77D9AAB4BBDD}"/>
            </c:ext>
          </c:extLst>
        </c:ser>
        <c:ser>
          <c:idx val="1"/>
          <c:order val="1"/>
          <c:tx>
            <c:v>Corrected Basal Cortisol</c:v>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1.5134338149799816E-2"/>
                  <c:y val="-0.2807614671581336"/>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2"/>
                        </a:solidFill>
                      </a:rPr>
                      <a:t>y = 1133x</a:t>
                    </a:r>
                    <a:r>
                      <a:rPr lang="en-US" sz="1400" baseline="30000">
                        <a:solidFill>
                          <a:schemeClr val="accent2"/>
                        </a:solidFill>
                      </a:rPr>
                      <a:t>-0.295</a:t>
                    </a:r>
                    <a:br>
                      <a:rPr lang="en-US" sz="1400" baseline="0">
                        <a:solidFill>
                          <a:schemeClr val="accent2"/>
                        </a:solidFill>
                      </a:rPr>
                    </a:br>
                    <a:r>
                      <a:rPr lang="en-US" sz="1400" baseline="0">
                        <a:solidFill>
                          <a:schemeClr val="accent2"/>
                        </a:solidFill>
                      </a:rPr>
                      <a:t>R² = 0.0137</a:t>
                    </a:r>
                    <a:endParaRPr lang="en-US" sz="1400">
                      <a:solidFill>
                        <a:schemeClr val="accent2"/>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'Corrected &amp; Uncorrected Graphs'!$AD$3:$AD$102</c:f>
              <c:numCache>
                <c:formatCode>#,##0</c:formatCode>
                <c:ptCount val="100"/>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2">
                  <c:v>7000</c:v>
                </c:pt>
                <c:pt idx="23">
                  <c:v>2643</c:v>
                </c:pt>
                <c:pt idx="24">
                  <c:v>2643</c:v>
                </c:pt>
                <c:pt idx="25">
                  <c:v>2643</c:v>
                </c:pt>
                <c:pt idx="26">
                  <c:v>2643</c:v>
                </c:pt>
                <c:pt idx="27" formatCode="General">
                  <c:v>2800</c:v>
                </c:pt>
                <c:pt idx="28" formatCode="#,##0.00">
                  <c:v>38446.1</c:v>
                </c:pt>
                <c:pt idx="29">
                  <c:v>45.2</c:v>
                </c:pt>
                <c:pt idx="30">
                  <c:v>45.2</c:v>
                </c:pt>
                <c:pt idx="31">
                  <c:v>117500</c:v>
                </c:pt>
                <c:pt idx="32">
                  <c:v>102500</c:v>
                </c:pt>
                <c:pt idx="33">
                  <c:v>750000</c:v>
                </c:pt>
                <c:pt idx="34">
                  <c:v>434000</c:v>
                </c:pt>
                <c:pt idx="35" formatCode="General">
                  <c:v>22983.200000000001</c:v>
                </c:pt>
                <c:pt idx="36">
                  <c:v>61000</c:v>
                </c:pt>
                <c:pt idx="37">
                  <c:v>61000</c:v>
                </c:pt>
                <c:pt idx="38">
                  <c:v>21667</c:v>
                </c:pt>
                <c:pt idx="39" formatCode="General">
                  <c:v>728</c:v>
                </c:pt>
                <c:pt idx="40">
                  <c:v>2175000</c:v>
                </c:pt>
                <c:pt idx="41">
                  <c:v>6500</c:v>
                </c:pt>
                <c:pt idx="42">
                  <c:v>200000</c:v>
                </c:pt>
                <c:pt idx="43">
                  <c:v>215000</c:v>
                </c:pt>
                <c:pt idx="44">
                  <c:v>215000</c:v>
                </c:pt>
                <c:pt idx="45">
                  <c:v>215000</c:v>
                </c:pt>
                <c:pt idx="46">
                  <c:v>215000</c:v>
                </c:pt>
                <c:pt idx="47">
                  <c:v>215000</c:v>
                </c:pt>
                <c:pt idx="48">
                  <c:v>164500</c:v>
                </c:pt>
                <c:pt idx="49">
                  <c:v>164500</c:v>
                </c:pt>
                <c:pt idx="50">
                  <c:v>164500</c:v>
                </c:pt>
                <c:pt idx="51">
                  <c:v>164500</c:v>
                </c:pt>
                <c:pt idx="52">
                  <c:v>63000</c:v>
                </c:pt>
                <c:pt idx="53">
                  <c:v>3178000</c:v>
                </c:pt>
                <c:pt idx="54">
                  <c:v>3178000</c:v>
                </c:pt>
                <c:pt idx="55">
                  <c:v>444900</c:v>
                </c:pt>
                <c:pt idx="56">
                  <c:v>384000</c:v>
                </c:pt>
                <c:pt idx="57">
                  <c:v>3900</c:v>
                </c:pt>
                <c:pt idx="58">
                  <c:v>20.87</c:v>
                </c:pt>
                <c:pt idx="59">
                  <c:v>30</c:v>
                </c:pt>
                <c:pt idx="60">
                  <c:v>37</c:v>
                </c:pt>
                <c:pt idx="61">
                  <c:v>800000</c:v>
                </c:pt>
                <c:pt idx="62">
                  <c:v>1600</c:v>
                </c:pt>
                <c:pt idx="63">
                  <c:v>4175</c:v>
                </c:pt>
                <c:pt idx="64">
                  <c:v>4175</c:v>
                </c:pt>
                <c:pt idx="65" formatCode="General">
                  <c:v>3940034</c:v>
                </c:pt>
                <c:pt idx="66">
                  <c:v>26500</c:v>
                </c:pt>
                <c:pt idx="67">
                  <c:v>3500</c:v>
                </c:pt>
                <c:pt idx="68">
                  <c:v>17000</c:v>
                </c:pt>
                <c:pt idx="69">
                  <c:v>100000</c:v>
                </c:pt>
                <c:pt idx="70" formatCode="General">
                  <c:v>105</c:v>
                </c:pt>
                <c:pt idx="71">
                  <c:v>12000</c:v>
                </c:pt>
                <c:pt idx="72">
                  <c:v>1332</c:v>
                </c:pt>
                <c:pt idx="73">
                  <c:v>1021</c:v>
                </c:pt>
                <c:pt idx="74">
                  <c:v>19500</c:v>
                </c:pt>
                <c:pt idx="75" formatCode="General">
                  <c:v>235</c:v>
                </c:pt>
                <c:pt idx="76">
                  <c:v>87000</c:v>
                </c:pt>
                <c:pt idx="77">
                  <c:v>315000</c:v>
                </c:pt>
                <c:pt idx="78">
                  <c:v>175000</c:v>
                </c:pt>
                <c:pt idx="79">
                  <c:v>81150</c:v>
                </c:pt>
                <c:pt idx="80">
                  <c:v>119700</c:v>
                </c:pt>
                <c:pt idx="81">
                  <c:v>119700</c:v>
                </c:pt>
                <c:pt idx="82">
                  <c:v>20200</c:v>
                </c:pt>
                <c:pt idx="83" formatCode="General">
                  <c:v>21</c:v>
                </c:pt>
                <c:pt idx="84">
                  <c:v>10650</c:v>
                </c:pt>
                <c:pt idx="85">
                  <c:v>101250</c:v>
                </c:pt>
                <c:pt idx="86">
                  <c:v>101250</c:v>
                </c:pt>
                <c:pt idx="87">
                  <c:v>1602330</c:v>
                </c:pt>
                <c:pt idx="88" formatCode="General">
                  <c:v>412.5</c:v>
                </c:pt>
                <c:pt idx="89">
                  <c:v>776</c:v>
                </c:pt>
                <c:pt idx="90">
                  <c:v>700000</c:v>
                </c:pt>
                <c:pt idx="91">
                  <c:v>4500</c:v>
                </c:pt>
                <c:pt idx="92">
                  <c:v>1500</c:v>
                </c:pt>
                <c:pt idx="93">
                  <c:v>413</c:v>
                </c:pt>
                <c:pt idx="94">
                  <c:v>277500</c:v>
                </c:pt>
                <c:pt idx="95">
                  <c:v>475000</c:v>
                </c:pt>
                <c:pt idx="96">
                  <c:v>103750</c:v>
                </c:pt>
                <c:pt idx="97">
                  <c:v>5200</c:v>
                </c:pt>
                <c:pt idx="98">
                  <c:v>4132</c:v>
                </c:pt>
              </c:numCache>
            </c:numRef>
          </c:xVal>
          <c:yVal>
            <c:numRef>
              <c:f>'Corrected &amp; Uncorrected Graphs'!$M$3:$M$101</c:f>
              <c:numCache>
                <c:formatCode>General</c:formatCode>
                <c:ptCount val="99"/>
                <c:pt idx="6">
                  <c:v>8</c:v>
                </c:pt>
                <c:pt idx="7">
                  <c:v>35.5</c:v>
                </c:pt>
                <c:pt idx="11">
                  <c:v>51.505000000000003</c:v>
                </c:pt>
                <c:pt idx="12">
                  <c:v>168</c:v>
                </c:pt>
                <c:pt idx="16">
                  <c:v>10.273199999999999</c:v>
                </c:pt>
                <c:pt idx="17">
                  <c:v>1.28</c:v>
                </c:pt>
                <c:pt idx="18">
                  <c:v>63.3</c:v>
                </c:pt>
                <c:pt idx="21">
                  <c:v>8.4</c:v>
                </c:pt>
                <c:pt idx="26">
                  <c:v>7860</c:v>
                </c:pt>
                <c:pt idx="27">
                  <c:v>1.75</c:v>
                </c:pt>
                <c:pt idx="28">
                  <c:v>618.5</c:v>
                </c:pt>
                <c:pt idx="31">
                  <c:v>114.66</c:v>
                </c:pt>
                <c:pt idx="34">
                  <c:v>201.56</c:v>
                </c:pt>
                <c:pt idx="35">
                  <c:v>312.55</c:v>
                </c:pt>
                <c:pt idx="38">
                  <c:v>24.367999999999999</c:v>
                </c:pt>
                <c:pt idx="39">
                  <c:v>349.23</c:v>
                </c:pt>
                <c:pt idx="40">
                  <c:v>4.0999999999999996</c:v>
                </c:pt>
                <c:pt idx="47">
                  <c:v>2.52</c:v>
                </c:pt>
                <c:pt idx="51">
                  <c:v>30</c:v>
                </c:pt>
                <c:pt idx="52">
                  <c:v>17.5</c:v>
                </c:pt>
                <c:pt idx="53">
                  <c:v>49.643599999999999</c:v>
                </c:pt>
                <c:pt idx="57">
                  <c:v>213.6</c:v>
                </c:pt>
                <c:pt idx="61">
                  <c:v>23.725000000000001</c:v>
                </c:pt>
                <c:pt idx="62">
                  <c:v>1054</c:v>
                </c:pt>
                <c:pt idx="69">
                  <c:v>48.7</c:v>
                </c:pt>
                <c:pt idx="71">
                  <c:v>47.548299999999998</c:v>
                </c:pt>
                <c:pt idx="72">
                  <c:v>58.4</c:v>
                </c:pt>
                <c:pt idx="73">
                  <c:v>170.1</c:v>
                </c:pt>
                <c:pt idx="74">
                  <c:v>248.8</c:v>
                </c:pt>
                <c:pt idx="75">
                  <c:v>138.59800000000001</c:v>
                </c:pt>
                <c:pt idx="77">
                  <c:v>25.648800000000001</c:v>
                </c:pt>
                <c:pt idx="78">
                  <c:v>15.4489</c:v>
                </c:pt>
                <c:pt idx="79">
                  <c:v>307.8</c:v>
                </c:pt>
                <c:pt idx="87">
                  <c:v>9.66</c:v>
                </c:pt>
                <c:pt idx="88">
                  <c:v>263.02999999999997</c:v>
                </c:pt>
                <c:pt idx="89">
                  <c:v>110.2</c:v>
                </c:pt>
                <c:pt idx="91">
                  <c:v>1050</c:v>
                </c:pt>
                <c:pt idx="92">
                  <c:v>642.1</c:v>
                </c:pt>
                <c:pt idx="94">
                  <c:v>19.042999999999999</c:v>
                </c:pt>
                <c:pt idx="96">
                  <c:v>80.7</c:v>
                </c:pt>
              </c:numCache>
            </c:numRef>
          </c:yVal>
          <c:smooth val="0"/>
          <c:extLst>
            <c:ext xmlns:c16="http://schemas.microsoft.com/office/drawing/2014/chart" uri="{C3380CC4-5D6E-409C-BE32-E72D297353CC}">
              <c16:uniqueId val="{00000001-DEEC-3746-8BED-77D9AAB4BBDD}"/>
            </c:ext>
          </c:extLst>
        </c:ser>
        <c:dLbls>
          <c:showLegendKey val="0"/>
          <c:showVal val="0"/>
          <c:showCatName val="0"/>
          <c:showSerName val="0"/>
          <c:showPercent val="0"/>
          <c:showBubbleSize val="0"/>
        </c:dLbls>
        <c:axId val="1608175184"/>
        <c:axId val="1666090496"/>
      </c:scatterChart>
      <c:valAx>
        <c:axId val="1608175184"/>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090496"/>
        <c:crosses val="autoZero"/>
        <c:crossBetween val="midCat"/>
      </c:valAx>
      <c:valAx>
        <c:axId val="1666090496"/>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1751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Corrected</a:t>
            </a:r>
            <a:r>
              <a:rPr lang="en-US" baseline="0"/>
              <a:t> and Uncorrected Elevated Corticosterone vs. Body Mass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Uncorrected Elevated Corticosterone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33797901006616188"/>
                  <c:y val="2.3805060992041428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1"/>
                        </a:solidFill>
                      </a:rPr>
                      <a:t>y = 19812x</a:t>
                    </a:r>
                    <a:r>
                      <a:rPr lang="en-US" sz="1400" baseline="30000">
                        <a:solidFill>
                          <a:schemeClr val="accent1"/>
                        </a:solidFill>
                      </a:rPr>
                      <a:t>-0.355</a:t>
                    </a:r>
                    <a:br>
                      <a:rPr lang="en-US" sz="1400" baseline="0">
                        <a:solidFill>
                          <a:schemeClr val="accent1"/>
                        </a:solidFill>
                      </a:rPr>
                    </a:br>
                    <a:r>
                      <a:rPr lang="en-US" sz="1400" baseline="0">
                        <a:solidFill>
                          <a:schemeClr val="accent1"/>
                        </a:solidFill>
                      </a:rPr>
                      <a:t>R² = 0.0011</a:t>
                    </a:r>
                    <a:endParaRPr lang="en-US" sz="1400">
                      <a:solidFill>
                        <a:schemeClr val="accent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'Corrected &amp; Uncorrected Graphs'!$AD$3:$AD$101</c:f>
              <c:numCache>
                <c:formatCode>#,##0</c:formatCode>
                <c:ptCount val="99"/>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2">
                  <c:v>7000</c:v>
                </c:pt>
                <c:pt idx="23">
                  <c:v>2643</c:v>
                </c:pt>
                <c:pt idx="24">
                  <c:v>2643</c:v>
                </c:pt>
                <c:pt idx="25">
                  <c:v>2643</c:v>
                </c:pt>
                <c:pt idx="26">
                  <c:v>2643</c:v>
                </c:pt>
                <c:pt idx="27" formatCode="General">
                  <c:v>2800</c:v>
                </c:pt>
                <c:pt idx="28" formatCode="#,##0.00">
                  <c:v>38446.1</c:v>
                </c:pt>
                <c:pt idx="29">
                  <c:v>45.2</c:v>
                </c:pt>
                <c:pt idx="30">
                  <c:v>45.2</c:v>
                </c:pt>
                <c:pt idx="31">
                  <c:v>117500</c:v>
                </c:pt>
                <c:pt idx="32">
                  <c:v>102500</c:v>
                </c:pt>
                <c:pt idx="33">
                  <c:v>750000</c:v>
                </c:pt>
                <c:pt idx="34">
                  <c:v>434000</c:v>
                </c:pt>
                <c:pt idx="35" formatCode="General">
                  <c:v>22983.200000000001</c:v>
                </c:pt>
                <c:pt idx="36">
                  <c:v>61000</c:v>
                </c:pt>
                <c:pt idx="37">
                  <c:v>61000</c:v>
                </c:pt>
                <c:pt idx="38">
                  <c:v>21667</c:v>
                </c:pt>
                <c:pt idx="39" formatCode="General">
                  <c:v>728</c:v>
                </c:pt>
                <c:pt idx="40">
                  <c:v>2175000</c:v>
                </c:pt>
                <c:pt idx="41">
                  <c:v>6500</c:v>
                </c:pt>
                <c:pt idx="42">
                  <c:v>200000</c:v>
                </c:pt>
                <c:pt idx="43">
                  <c:v>215000</c:v>
                </c:pt>
                <c:pt idx="44">
                  <c:v>215000</c:v>
                </c:pt>
                <c:pt idx="45">
                  <c:v>215000</c:v>
                </c:pt>
                <c:pt idx="46">
                  <c:v>215000</c:v>
                </c:pt>
                <c:pt idx="47">
                  <c:v>215000</c:v>
                </c:pt>
                <c:pt idx="48">
                  <c:v>164500</c:v>
                </c:pt>
                <c:pt idx="49">
                  <c:v>164500</c:v>
                </c:pt>
                <c:pt idx="50">
                  <c:v>164500</c:v>
                </c:pt>
                <c:pt idx="51">
                  <c:v>164500</c:v>
                </c:pt>
                <c:pt idx="52">
                  <c:v>63000</c:v>
                </c:pt>
                <c:pt idx="53">
                  <c:v>3178000</c:v>
                </c:pt>
                <c:pt idx="54">
                  <c:v>3178000</c:v>
                </c:pt>
                <c:pt idx="55">
                  <c:v>444900</c:v>
                </c:pt>
                <c:pt idx="56">
                  <c:v>384000</c:v>
                </c:pt>
                <c:pt idx="57">
                  <c:v>3900</c:v>
                </c:pt>
                <c:pt idx="58">
                  <c:v>20.87</c:v>
                </c:pt>
                <c:pt idx="59">
                  <c:v>30</c:v>
                </c:pt>
                <c:pt idx="60">
                  <c:v>37</c:v>
                </c:pt>
                <c:pt idx="61">
                  <c:v>800000</c:v>
                </c:pt>
                <c:pt idx="62">
                  <c:v>1600</c:v>
                </c:pt>
                <c:pt idx="63">
                  <c:v>4175</c:v>
                </c:pt>
                <c:pt idx="64">
                  <c:v>4175</c:v>
                </c:pt>
                <c:pt idx="65" formatCode="General">
                  <c:v>3940034</c:v>
                </c:pt>
                <c:pt idx="66">
                  <c:v>26500</c:v>
                </c:pt>
                <c:pt idx="67">
                  <c:v>3500</c:v>
                </c:pt>
                <c:pt idx="68">
                  <c:v>17000</c:v>
                </c:pt>
                <c:pt idx="69">
                  <c:v>100000</c:v>
                </c:pt>
                <c:pt idx="70" formatCode="General">
                  <c:v>105</c:v>
                </c:pt>
                <c:pt idx="71">
                  <c:v>12000</c:v>
                </c:pt>
                <c:pt idx="72">
                  <c:v>1332</c:v>
                </c:pt>
                <c:pt idx="73">
                  <c:v>1021</c:v>
                </c:pt>
                <c:pt idx="74">
                  <c:v>19500</c:v>
                </c:pt>
                <c:pt idx="75" formatCode="General">
                  <c:v>235</c:v>
                </c:pt>
                <c:pt idx="76">
                  <c:v>87000</c:v>
                </c:pt>
                <c:pt idx="77">
                  <c:v>315000</c:v>
                </c:pt>
                <c:pt idx="78">
                  <c:v>175000</c:v>
                </c:pt>
                <c:pt idx="79">
                  <c:v>81150</c:v>
                </c:pt>
                <c:pt idx="80">
                  <c:v>119700</c:v>
                </c:pt>
                <c:pt idx="81">
                  <c:v>119700</c:v>
                </c:pt>
                <c:pt idx="82">
                  <c:v>20200</c:v>
                </c:pt>
                <c:pt idx="83" formatCode="General">
                  <c:v>21</c:v>
                </c:pt>
                <c:pt idx="84">
                  <c:v>10650</c:v>
                </c:pt>
                <c:pt idx="85">
                  <c:v>101250</c:v>
                </c:pt>
                <c:pt idx="86">
                  <c:v>101250</c:v>
                </c:pt>
                <c:pt idx="87">
                  <c:v>1602330</c:v>
                </c:pt>
                <c:pt idx="88" formatCode="General">
                  <c:v>412.5</c:v>
                </c:pt>
                <c:pt idx="89">
                  <c:v>776</c:v>
                </c:pt>
                <c:pt idx="90">
                  <c:v>700000</c:v>
                </c:pt>
                <c:pt idx="91">
                  <c:v>4500</c:v>
                </c:pt>
                <c:pt idx="92">
                  <c:v>1500</c:v>
                </c:pt>
                <c:pt idx="93">
                  <c:v>413</c:v>
                </c:pt>
                <c:pt idx="94">
                  <c:v>277500</c:v>
                </c:pt>
                <c:pt idx="95">
                  <c:v>475000</c:v>
                </c:pt>
                <c:pt idx="96">
                  <c:v>103750</c:v>
                </c:pt>
                <c:pt idx="97">
                  <c:v>5200</c:v>
                </c:pt>
                <c:pt idx="98">
                  <c:v>4132</c:v>
                </c:pt>
              </c:numCache>
            </c:numRef>
          </c:xVal>
          <c:yVal>
            <c:numRef>
              <c:f>'Corrected &amp; Uncorrected Graphs'!$F$3:$F$101</c:f>
              <c:numCache>
                <c:formatCode>General</c:formatCode>
                <c:ptCount val="99"/>
                <c:pt idx="5">
                  <c:v>140</c:v>
                </c:pt>
                <c:pt idx="10">
                  <c:v>749.5</c:v>
                </c:pt>
                <c:pt idx="15">
                  <c:v>870</c:v>
                </c:pt>
                <c:pt idx="25">
                  <c:v>64845</c:v>
                </c:pt>
                <c:pt idx="28">
                  <c:v>3578</c:v>
                </c:pt>
                <c:pt idx="35">
                  <c:v>684.8</c:v>
                </c:pt>
                <c:pt idx="40">
                  <c:v>27.2</c:v>
                </c:pt>
                <c:pt idx="47">
                  <c:v>283.89999999999998</c:v>
                </c:pt>
                <c:pt idx="51">
                  <c:v>1320</c:v>
                </c:pt>
                <c:pt idx="56">
                  <c:v>25.1</c:v>
                </c:pt>
                <c:pt idx="57">
                  <c:v>544.5</c:v>
                </c:pt>
                <c:pt idx="61">
                  <c:v>178.8</c:v>
                </c:pt>
                <c:pt idx="67">
                  <c:v>4417</c:v>
                </c:pt>
                <c:pt idx="69">
                  <c:v>666.5</c:v>
                </c:pt>
                <c:pt idx="72">
                  <c:v>2120</c:v>
                </c:pt>
                <c:pt idx="73">
                  <c:v>174.7</c:v>
                </c:pt>
                <c:pt idx="74">
                  <c:v>1621.8</c:v>
                </c:pt>
                <c:pt idx="77">
                  <c:v>59.786999999999999</c:v>
                </c:pt>
                <c:pt idx="83">
                  <c:v>2368.4699999999998</c:v>
                </c:pt>
                <c:pt idx="89">
                  <c:v>2672.8</c:v>
                </c:pt>
                <c:pt idx="96">
                  <c:v>212.8</c:v>
                </c:pt>
              </c:numCache>
            </c:numRef>
          </c:yVal>
          <c:smooth val="0"/>
          <c:extLst>
            <c:ext xmlns:c16="http://schemas.microsoft.com/office/drawing/2014/chart" uri="{C3380CC4-5D6E-409C-BE32-E72D297353CC}">
              <c16:uniqueId val="{00000000-89ED-BE47-9E3B-714FF8A0E5DE}"/>
            </c:ext>
          </c:extLst>
        </c:ser>
        <c:ser>
          <c:idx val="1"/>
          <c:order val="1"/>
          <c:tx>
            <c:v>Corrected Elevated Corticosterone</c:v>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1.6066094341318695E-2"/>
                  <c:y val="-0.2603426215733868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2"/>
                        </a:solidFill>
                      </a:rPr>
                      <a:t>y = 18318x</a:t>
                    </a:r>
                    <a:r>
                      <a:rPr lang="en-US" sz="1400" baseline="30000">
                        <a:solidFill>
                          <a:schemeClr val="accent2"/>
                        </a:solidFill>
                      </a:rPr>
                      <a:t>-0.365</a:t>
                    </a:r>
                    <a:br>
                      <a:rPr lang="en-US" sz="1400" baseline="0">
                        <a:solidFill>
                          <a:schemeClr val="accent2"/>
                        </a:solidFill>
                      </a:rPr>
                    </a:br>
                    <a:r>
                      <a:rPr lang="en-US" sz="1400" baseline="0">
                        <a:solidFill>
                          <a:schemeClr val="accent2"/>
                        </a:solidFill>
                      </a:rPr>
                      <a:t>R² = 0.0007</a:t>
                    </a:r>
                    <a:endParaRPr lang="en-US" sz="1400">
                      <a:solidFill>
                        <a:schemeClr val="accent2"/>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'Corrected &amp; Uncorrected Graphs'!$AD$3:$AD$101</c:f>
              <c:numCache>
                <c:formatCode>#,##0</c:formatCode>
                <c:ptCount val="99"/>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2">
                  <c:v>7000</c:v>
                </c:pt>
                <c:pt idx="23">
                  <c:v>2643</c:v>
                </c:pt>
                <c:pt idx="24">
                  <c:v>2643</c:v>
                </c:pt>
                <c:pt idx="25">
                  <c:v>2643</c:v>
                </c:pt>
                <c:pt idx="26">
                  <c:v>2643</c:v>
                </c:pt>
                <c:pt idx="27" formatCode="General">
                  <c:v>2800</c:v>
                </c:pt>
                <c:pt idx="28" formatCode="#,##0.00">
                  <c:v>38446.1</c:v>
                </c:pt>
                <c:pt idx="29">
                  <c:v>45.2</c:v>
                </c:pt>
                <c:pt idx="30">
                  <c:v>45.2</c:v>
                </c:pt>
                <c:pt idx="31">
                  <c:v>117500</c:v>
                </c:pt>
                <c:pt idx="32">
                  <c:v>102500</c:v>
                </c:pt>
                <c:pt idx="33">
                  <c:v>750000</c:v>
                </c:pt>
                <c:pt idx="34">
                  <c:v>434000</c:v>
                </c:pt>
                <c:pt idx="35" formatCode="General">
                  <c:v>22983.200000000001</c:v>
                </c:pt>
                <c:pt idx="36">
                  <c:v>61000</c:v>
                </c:pt>
                <c:pt idx="37">
                  <c:v>61000</c:v>
                </c:pt>
                <c:pt idx="38">
                  <c:v>21667</c:v>
                </c:pt>
                <c:pt idx="39" formatCode="General">
                  <c:v>728</c:v>
                </c:pt>
                <c:pt idx="40">
                  <c:v>2175000</c:v>
                </c:pt>
                <c:pt idx="41">
                  <c:v>6500</c:v>
                </c:pt>
                <c:pt idx="42">
                  <c:v>200000</c:v>
                </c:pt>
                <c:pt idx="43">
                  <c:v>215000</c:v>
                </c:pt>
                <c:pt idx="44">
                  <c:v>215000</c:v>
                </c:pt>
                <c:pt idx="45">
                  <c:v>215000</c:v>
                </c:pt>
                <c:pt idx="46">
                  <c:v>215000</c:v>
                </c:pt>
                <c:pt idx="47">
                  <c:v>215000</c:v>
                </c:pt>
                <c:pt idx="48">
                  <c:v>164500</c:v>
                </c:pt>
                <c:pt idx="49">
                  <c:v>164500</c:v>
                </c:pt>
                <c:pt idx="50">
                  <c:v>164500</c:v>
                </c:pt>
                <c:pt idx="51">
                  <c:v>164500</c:v>
                </c:pt>
                <c:pt idx="52">
                  <c:v>63000</c:v>
                </c:pt>
                <c:pt idx="53">
                  <c:v>3178000</c:v>
                </c:pt>
                <c:pt idx="54">
                  <c:v>3178000</c:v>
                </c:pt>
                <c:pt idx="55">
                  <c:v>444900</c:v>
                </c:pt>
                <c:pt idx="56">
                  <c:v>384000</c:v>
                </c:pt>
                <c:pt idx="57">
                  <c:v>3900</c:v>
                </c:pt>
                <c:pt idx="58">
                  <c:v>20.87</c:v>
                </c:pt>
                <c:pt idx="59">
                  <c:v>30</c:v>
                </c:pt>
                <c:pt idx="60">
                  <c:v>37</c:v>
                </c:pt>
                <c:pt idx="61">
                  <c:v>800000</c:v>
                </c:pt>
                <c:pt idx="62">
                  <c:v>1600</c:v>
                </c:pt>
                <c:pt idx="63">
                  <c:v>4175</c:v>
                </c:pt>
                <c:pt idx="64">
                  <c:v>4175</c:v>
                </c:pt>
                <c:pt idx="65" formatCode="General">
                  <c:v>3940034</c:v>
                </c:pt>
                <c:pt idx="66">
                  <c:v>26500</c:v>
                </c:pt>
                <c:pt idx="67">
                  <c:v>3500</c:v>
                </c:pt>
                <c:pt idx="68">
                  <c:v>17000</c:v>
                </c:pt>
                <c:pt idx="69">
                  <c:v>100000</c:v>
                </c:pt>
                <c:pt idx="70" formatCode="General">
                  <c:v>105</c:v>
                </c:pt>
                <c:pt idx="71">
                  <c:v>12000</c:v>
                </c:pt>
                <c:pt idx="72">
                  <c:v>1332</c:v>
                </c:pt>
                <c:pt idx="73">
                  <c:v>1021</c:v>
                </c:pt>
                <c:pt idx="74">
                  <c:v>19500</c:v>
                </c:pt>
                <c:pt idx="75" formatCode="General">
                  <c:v>235</c:v>
                </c:pt>
                <c:pt idx="76">
                  <c:v>87000</c:v>
                </c:pt>
                <c:pt idx="77">
                  <c:v>315000</c:v>
                </c:pt>
                <c:pt idx="78">
                  <c:v>175000</c:v>
                </c:pt>
                <c:pt idx="79">
                  <c:v>81150</c:v>
                </c:pt>
                <c:pt idx="80">
                  <c:v>119700</c:v>
                </c:pt>
                <c:pt idx="81">
                  <c:v>119700</c:v>
                </c:pt>
                <c:pt idx="82">
                  <c:v>20200</c:v>
                </c:pt>
                <c:pt idx="83" formatCode="General">
                  <c:v>21</c:v>
                </c:pt>
                <c:pt idx="84">
                  <c:v>10650</c:v>
                </c:pt>
                <c:pt idx="85">
                  <c:v>101250</c:v>
                </c:pt>
                <c:pt idx="86">
                  <c:v>101250</c:v>
                </c:pt>
                <c:pt idx="87">
                  <c:v>1602330</c:v>
                </c:pt>
                <c:pt idx="88" formatCode="General">
                  <c:v>412.5</c:v>
                </c:pt>
                <c:pt idx="89">
                  <c:v>776</c:v>
                </c:pt>
                <c:pt idx="90">
                  <c:v>700000</c:v>
                </c:pt>
                <c:pt idx="91">
                  <c:v>4500</c:v>
                </c:pt>
                <c:pt idx="92">
                  <c:v>1500</c:v>
                </c:pt>
                <c:pt idx="93">
                  <c:v>413</c:v>
                </c:pt>
                <c:pt idx="94">
                  <c:v>277500</c:v>
                </c:pt>
                <c:pt idx="95">
                  <c:v>475000</c:v>
                </c:pt>
                <c:pt idx="96">
                  <c:v>103750</c:v>
                </c:pt>
                <c:pt idx="97">
                  <c:v>5200</c:v>
                </c:pt>
                <c:pt idx="98">
                  <c:v>4132</c:v>
                </c:pt>
              </c:numCache>
            </c:numRef>
          </c:xVal>
          <c:yVal>
            <c:numRef>
              <c:f>'Corrected &amp; Uncorrected Graphs'!$P$3:$P$102</c:f>
              <c:numCache>
                <c:formatCode>General</c:formatCode>
                <c:ptCount val="100"/>
                <c:pt idx="5">
                  <c:v>56</c:v>
                </c:pt>
                <c:pt idx="10">
                  <c:v>749.5</c:v>
                </c:pt>
                <c:pt idx="15">
                  <c:v>348</c:v>
                </c:pt>
                <c:pt idx="25">
                  <c:v>64845</c:v>
                </c:pt>
                <c:pt idx="28">
                  <c:v>3578</c:v>
                </c:pt>
                <c:pt idx="35">
                  <c:v>684.8</c:v>
                </c:pt>
                <c:pt idx="40">
                  <c:v>27.2</c:v>
                </c:pt>
                <c:pt idx="47">
                  <c:v>113.56</c:v>
                </c:pt>
                <c:pt idx="51">
                  <c:v>1320</c:v>
                </c:pt>
                <c:pt idx="56">
                  <c:v>25.1</c:v>
                </c:pt>
                <c:pt idx="57">
                  <c:v>544.5</c:v>
                </c:pt>
                <c:pt idx="61">
                  <c:v>178.8</c:v>
                </c:pt>
                <c:pt idx="67">
                  <c:v>4417</c:v>
                </c:pt>
                <c:pt idx="69">
                  <c:v>666.5</c:v>
                </c:pt>
                <c:pt idx="72">
                  <c:v>2120</c:v>
                </c:pt>
                <c:pt idx="73">
                  <c:v>174.7</c:v>
                </c:pt>
                <c:pt idx="74">
                  <c:v>1621.8</c:v>
                </c:pt>
                <c:pt idx="77">
                  <c:v>23.9148</c:v>
                </c:pt>
                <c:pt idx="83">
                  <c:v>2368.4699999999998</c:v>
                </c:pt>
                <c:pt idx="89">
                  <c:v>2672.8</c:v>
                </c:pt>
                <c:pt idx="96">
                  <c:v>212.8</c:v>
                </c:pt>
              </c:numCache>
            </c:numRef>
          </c:yVal>
          <c:smooth val="0"/>
          <c:extLst>
            <c:ext xmlns:c16="http://schemas.microsoft.com/office/drawing/2014/chart" uri="{C3380CC4-5D6E-409C-BE32-E72D297353CC}">
              <c16:uniqueId val="{00000001-89ED-BE47-9E3B-714FF8A0E5DE}"/>
            </c:ext>
          </c:extLst>
        </c:ser>
        <c:dLbls>
          <c:showLegendKey val="0"/>
          <c:showVal val="0"/>
          <c:showCatName val="0"/>
          <c:showSerName val="0"/>
          <c:showPercent val="0"/>
          <c:showBubbleSize val="0"/>
        </c:dLbls>
        <c:axId val="1665315648"/>
        <c:axId val="1665545840"/>
      </c:scatterChart>
      <c:valAx>
        <c:axId val="1665315648"/>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545840"/>
        <c:crosses val="autoZero"/>
        <c:crossBetween val="midCat"/>
      </c:valAx>
      <c:valAx>
        <c:axId val="1665545840"/>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31564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Corrected</a:t>
            </a:r>
            <a:r>
              <a:rPr lang="en-US" baseline="0"/>
              <a:t> and Uncorrected Basal Corticosterone vs. Body Mass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Uncorrected Corticosterone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46371436976793567"/>
                  <c:y val="3.8526956016339292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1"/>
                        </a:solidFill>
                      </a:rPr>
                      <a:t>y = 3133.3x</a:t>
                    </a:r>
                    <a:r>
                      <a:rPr lang="en-US" sz="1400" baseline="30000">
                        <a:solidFill>
                          <a:schemeClr val="accent1"/>
                        </a:solidFill>
                      </a:rPr>
                      <a:t>-0.314</a:t>
                    </a:r>
                    <a:br>
                      <a:rPr lang="en-US" sz="1400" baseline="0">
                        <a:solidFill>
                          <a:schemeClr val="accent1"/>
                        </a:solidFill>
                      </a:rPr>
                    </a:br>
                    <a:r>
                      <a:rPr lang="en-US" sz="1400" baseline="0">
                        <a:solidFill>
                          <a:schemeClr val="accent1"/>
                        </a:solidFill>
                      </a:rPr>
                      <a:t>R² = 0.6185</a:t>
                    </a:r>
                    <a:endParaRPr lang="en-US" sz="1400">
                      <a:solidFill>
                        <a:schemeClr val="accent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'Corrected &amp; Uncorrected Graphs'!$AD$3:$AD$101</c:f>
              <c:numCache>
                <c:formatCode>#,##0</c:formatCode>
                <c:ptCount val="99"/>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2">
                  <c:v>7000</c:v>
                </c:pt>
                <c:pt idx="23">
                  <c:v>2643</c:v>
                </c:pt>
                <c:pt idx="24">
                  <c:v>2643</c:v>
                </c:pt>
                <c:pt idx="25">
                  <c:v>2643</c:v>
                </c:pt>
                <c:pt idx="26">
                  <c:v>2643</c:v>
                </c:pt>
                <c:pt idx="27" formatCode="General">
                  <c:v>2800</c:v>
                </c:pt>
                <c:pt idx="28" formatCode="#,##0.00">
                  <c:v>38446.1</c:v>
                </c:pt>
                <c:pt idx="29">
                  <c:v>45.2</c:v>
                </c:pt>
                <c:pt idx="30">
                  <c:v>45.2</c:v>
                </c:pt>
                <c:pt idx="31">
                  <c:v>117500</c:v>
                </c:pt>
                <c:pt idx="32">
                  <c:v>102500</c:v>
                </c:pt>
                <c:pt idx="33">
                  <c:v>750000</c:v>
                </c:pt>
                <c:pt idx="34">
                  <c:v>434000</c:v>
                </c:pt>
                <c:pt idx="35" formatCode="General">
                  <c:v>22983.200000000001</c:v>
                </c:pt>
                <c:pt idx="36">
                  <c:v>61000</c:v>
                </c:pt>
                <c:pt idx="37">
                  <c:v>61000</c:v>
                </c:pt>
                <c:pt idx="38">
                  <c:v>21667</c:v>
                </c:pt>
                <c:pt idx="39" formatCode="General">
                  <c:v>728</c:v>
                </c:pt>
                <c:pt idx="40">
                  <c:v>2175000</c:v>
                </c:pt>
                <c:pt idx="41">
                  <c:v>6500</c:v>
                </c:pt>
                <c:pt idx="42">
                  <c:v>200000</c:v>
                </c:pt>
                <c:pt idx="43">
                  <c:v>215000</c:v>
                </c:pt>
                <c:pt idx="44">
                  <c:v>215000</c:v>
                </c:pt>
                <c:pt idx="45">
                  <c:v>215000</c:v>
                </c:pt>
                <c:pt idx="46">
                  <c:v>215000</c:v>
                </c:pt>
                <c:pt idx="47">
                  <c:v>215000</c:v>
                </c:pt>
                <c:pt idx="48">
                  <c:v>164500</c:v>
                </c:pt>
                <c:pt idx="49">
                  <c:v>164500</c:v>
                </c:pt>
                <c:pt idx="50">
                  <c:v>164500</c:v>
                </c:pt>
                <c:pt idx="51">
                  <c:v>164500</c:v>
                </c:pt>
                <c:pt idx="52">
                  <c:v>63000</c:v>
                </c:pt>
                <c:pt idx="53">
                  <c:v>3178000</c:v>
                </c:pt>
                <c:pt idx="54">
                  <c:v>3178000</c:v>
                </c:pt>
                <c:pt idx="55">
                  <c:v>444900</c:v>
                </c:pt>
                <c:pt idx="56">
                  <c:v>384000</c:v>
                </c:pt>
                <c:pt idx="57">
                  <c:v>3900</c:v>
                </c:pt>
                <c:pt idx="58">
                  <c:v>20.87</c:v>
                </c:pt>
                <c:pt idx="59">
                  <c:v>30</c:v>
                </c:pt>
                <c:pt idx="60">
                  <c:v>37</c:v>
                </c:pt>
                <c:pt idx="61">
                  <c:v>800000</c:v>
                </c:pt>
                <c:pt idx="62">
                  <c:v>1600</c:v>
                </c:pt>
                <c:pt idx="63">
                  <c:v>4175</c:v>
                </c:pt>
                <c:pt idx="64">
                  <c:v>4175</c:v>
                </c:pt>
                <c:pt idx="65" formatCode="General">
                  <c:v>3940034</c:v>
                </c:pt>
                <c:pt idx="66">
                  <c:v>26500</c:v>
                </c:pt>
                <c:pt idx="67">
                  <c:v>3500</c:v>
                </c:pt>
                <c:pt idx="68">
                  <c:v>17000</c:v>
                </c:pt>
                <c:pt idx="69">
                  <c:v>100000</c:v>
                </c:pt>
                <c:pt idx="70" formatCode="General">
                  <c:v>105</c:v>
                </c:pt>
                <c:pt idx="71">
                  <c:v>12000</c:v>
                </c:pt>
                <c:pt idx="72">
                  <c:v>1332</c:v>
                </c:pt>
                <c:pt idx="73">
                  <c:v>1021</c:v>
                </c:pt>
                <c:pt idx="74">
                  <c:v>19500</c:v>
                </c:pt>
                <c:pt idx="75" formatCode="General">
                  <c:v>235</c:v>
                </c:pt>
                <c:pt idx="76">
                  <c:v>87000</c:v>
                </c:pt>
                <c:pt idx="77">
                  <c:v>315000</c:v>
                </c:pt>
                <c:pt idx="78">
                  <c:v>175000</c:v>
                </c:pt>
                <c:pt idx="79">
                  <c:v>81150</c:v>
                </c:pt>
                <c:pt idx="80">
                  <c:v>119700</c:v>
                </c:pt>
                <c:pt idx="81">
                  <c:v>119700</c:v>
                </c:pt>
                <c:pt idx="82">
                  <c:v>20200</c:v>
                </c:pt>
                <c:pt idx="83" formatCode="General">
                  <c:v>21</c:v>
                </c:pt>
                <c:pt idx="84">
                  <c:v>10650</c:v>
                </c:pt>
                <c:pt idx="85">
                  <c:v>101250</c:v>
                </c:pt>
                <c:pt idx="86">
                  <c:v>101250</c:v>
                </c:pt>
                <c:pt idx="87">
                  <c:v>1602330</c:v>
                </c:pt>
                <c:pt idx="88" formatCode="General">
                  <c:v>412.5</c:v>
                </c:pt>
                <c:pt idx="89">
                  <c:v>776</c:v>
                </c:pt>
                <c:pt idx="90">
                  <c:v>700000</c:v>
                </c:pt>
                <c:pt idx="91">
                  <c:v>4500</c:v>
                </c:pt>
                <c:pt idx="92">
                  <c:v>1500</c:v>
                </c:pt>
                <c:pt idx="93">
                  <c:v>413</c:v>
                </c:pt>
                <c:pt idx="94">
                  <c:v>277500</c:v>
                </c:pt>
                <c:pt idx="95">
                  <c:v>475000</c:v>
                </c:pt>
                <c:pt idx="96">
                  <c:v>103750</c:v>
                </c:pt>
                <c:pt idx="97">
                  <c:v>5200</c:v>
                </c:pt>
                <c:pt idx="98">
                  <c:v>4132</c:v>
                </c:pt>
              </c:numCache>
            </c:numRef>
          </c:xVal>
          <c:yVal>
            <c:numRef>
              <c:f>'Corrected &amp; Uncorrected Graphs'!$D$3:$D$101</c:f>
              <c:numCache>
                <c:formatCode>General</c:formatCode>
                <c:ptCount val="99"/>
                <c:pt idx="5">
                  <c:v>60</c:v>
                </c:pt>
                <c:pt idx="10">
                  <c:v>25</c:v>
                </c:pt>
                <c:pt idx="15">
                  <c:v>90</c:v>
                </c:pt>
                <c:pt idx="25">
                  <c:v>1240</c:v>
                </c:pt>
                <c:pt idx="28">
                  <c:v>232.9</c:v>
                </c:pt>
                <c:pt idx="35">
                  <c:v>215.8</c:v>
                </c:pt>
                <c:pt idx="40">
                  <c:v>8.6</c:v>
                </c:pt>
                <c:pt idx="47">
                  <c:v>102.75</c:v>
                </c:pt>
                <c:pt idx="51">
                  <c:v>640</c:v>
                </c:pt>
                <c:pt idx="56">
                  <c:v>16.2</c:v>
                </c:pt>
                <c:pt idx="57">
                  <c:v>354.7</c:v>
                </c:pt>
                <c:pt idx="58">
                  <c:v>1743.1</c:v>
                </c:pt>
                <c:pt idx="59">
                  <c:v>2842.33</c:v>
                </c:pt>
                <c:pt idx="60">
                  <c:v>1711.28</c:v>
                </c:pt>
                <c:pt idx="61">
                  <c:v>64.758300000000006</c:v>
                </c:pt>
                <c:pt idx="67">
                  <c:v>132</c:v>
                </c:pt>
                <c:pt idx="69">
                  <c:v>64.099999999999994</c:v>
                </c:pt>
                <c:pt idx="72">
                  <c:v>1030</c:v>
                </c:pt>
                <c:pt idx="73">
                  <c:v>101.9</c:v>
                </c:pt>
                <c:pt idx="74">
                  <c:v>302.2</c:v>
                </c:pt>
                <c:pt idx="77">
                  <c:v>104.312</c:v>
                </c:pt>
                <c:pt idx="83">
                  <c:v>1436.55</c:v>
                </c:pt>
                <c:pt idx="89">
                  <c:v>175</c:v>
                </c:pt>
                <c:pt idx="96">
                  <c:v>45.1</c:v>
                </c:pt>
              </c:numCache>
            </c:numRef>
          </c:yVal>
          <c:smooth val="0"/>
          <c:extLst>
            <c:ext xmlns:c16="http://schemas.microsoft.com/office/drawing/2014/chart" uri="{C3380CC4-5D6E-409C-BE32-E72D297353CC}">
              <c16:uniqueId val="{00000000-BD17-184F-B1F1-405310167426}"/>
            </c:ext>
          </c:extLst>
        </c:ser>
        <c:ser>
          <c:idx val="1"/>
          <c:order val="1"/>
          <c:tx>
            <c:v>Corrected Corticosterone</c:v>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1.3502388496309011E-3"/>
                  <c:y val="-0.29910625362469867"/>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accent2"/>
                        </a:solidFill>
                      </a:rPr>
                      <a:t>y = 3108.2x</a:t>
                    </a:r>
                    <a:r>
                      <a:rPr lang="en-US" sz="1400" baseline="30000">
                        <a:solidFill>
                          <a:schemeClr val="accent2"/>
                        </a:solidFill>
                      </a:rPr>
                      <a:t>-0.33</a:t>
                    </a:r>
                    <a:br>
                      <a:rPr lang="en-US" sz="1400" baseline="0">
                        <a:solidFill>
                          <a:schemeClr val="accent2"/>
                        </a:solidFill>
                      </a:rPr>
                    </a:br>
                    <a:r>
                      <a:rPr lang="en-US" sz="1400" baseline="0">
                        <a:solidFill>
                          <a:schemeClr val="accent2"/>
                        </a:solidFill>
                      </a:rPr>
                      <a:t>R² = 0.6145</a:t>
                    </a:r>
                    <a:endParaRPr lang="en-US" sz="1400">
                      <a:solidFill>
                        <a:schemeClr val="accent2"/>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'Corrected &amp; Uncorrected Graphs'!$AD$3:$AD$101</c:f>
              <c:numCache>
                <c:formatCode>#,##0</c:formatCode>
                <c:ptCount val="99"/>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2">
                  <c:v>7000</c:v>
                </c:pt>
                <c:pt idx="23">
                  <c:v>2643</c:v>
                </c:pt>
                <c:pt idx="24">
                  <c:v>2643</c:v>
                </c:pt>
                <c:pt idx="25">
                  <c:v>2643</c:v>
                </c:pt>
                <c:pt idx="26">
                  <c:v>2643</c:v>
                </c:pt>
                <c:pt idx="27" formatCode="General">
                  <c:v>2800</c:v>
                </c:pt>
                <c:pt idx="28" formatCode="#,##0.00">
                  <c:v>38446.1</c:v>
                </c:pt>
                <c:pt idx="29">
                  <c:v>45.2</c:v>
                </c:pt>
                <c:pt idx="30">
                  <c:v>45.2</c:v>
                </c:pt>
                <c:pt idx="31">
                  <c:v>117500</c:v>
                </c:pt>
                <c:pt idx="32">
                  <c:v>102500</c:v>
                </c:pt>
                <c:pt idx="33">
                  <c:v>750000</c:v>
                </c:pt>
                <c:pt idx="34">
                  <c:v>434000</c:v>
                </c:pt>
                <c:pt idx="35" formatCode="General">
                  <c:v>22983.200000000001</c:v>
                </c:pt>
                <c:pt idx="36">
                  <c:v>61000</c:v>
                </c:pt>
                <c:pt idx="37">
                  <c:v>61000</c:v>
                </c:pt>
                <c:pt idx="38">
                  <c:v>21667</c:v>
                </c:pt>
                <c:pt idx="39" formatCode="General">
                  <c:v>728</c:v>
                </c:pt>
                <c:pt idx="40">
                  <c:v>2175000</c:v>
                </c:pt>
                <c:pt idx="41">
                  <c:v>6500</c:v>
                </c:pt>
                <c:pt idx="42">
                  <c:v>200000</c:v>
                </c:pt>
                <c:pt idx="43">
                  <c:v>215000</c:v>
                </c:pt>
                <c:pt idx="44">
                  <c:v>215000</c:v>
                </c:pt>
                <c:pt idx="45">
                  <c:v>215000</c:v>
                </c:pt>
                <c:pt idx="46">
                  <c:v>215000</c:v>
                </c:pt>
                <c:pt idx="47">
                  <c:v>215000</c:v>
                </c:pt>
                <c:pt idx="48">
                  <c:v>164500</c:v>
                </c:pt>
                <c:pt idx="49">
                  <c:v>164500</c:v>
                </c:pt>
                <c:pt idx="50">
                  <c:v>164500</c:v>
                </c:pt>
                <c:pt idx="51">
                  <c:v>164500</c:v>
                </c:pt>
                <c:pt idx="52">
                  <c:v>63000</c:v>
                </c:pt>
                <c:pt idx="53">
                  <c:v>3178000</c:v>
                </c:pt>
                <c:pt idx="54">
                  <c:v>3178000</c:v>
                </c:pt>
                <c:pt idx="55">
                  <c:v>444900</c:v>
                </c:pt>
                <c:pt idx="56">
                  <c:v>384000</c:v>
                </c:pt>
                <c:pt idx="57">
                  <c:v>3900</c:v>
                </c:pt>
                <c:pt idx="58">
                  <c:v>20.87</c:v>
                </c:pt>
                <c:pt idx="59">
                  <c:v>30</c:v>
                </c:pt>
                <c:pt idx="60">
                  <c:v>37</c:v>
                </c:pt>
                <c:pt idx="61">
                  <c:v>800000</c:v>
                </c:pt>
                <c:pt idx="62">
                  <c:v>1600</c:v>
                </c:pt>
                <c:pt idx="63">
                  <c:v>4175</c:v>
                </c:pt>
                <c:pt idx="64">
                  <c:v>4175</c:v>
                </c:pt>
                <c:pt idx="65" formatCode="General">
                  <c:v>3940034</c:v>
                </c:pt>
                <c:pt idx="66">
                  <c:v>26500</c:v>
                </c:pt>
                <c:pt idx="67">
                  <c:v>3500</c:v>
                </c:pt>
                <c:pt idx="68">
                  <c:v>17000</c:v>
                </c:pt>
                <c:pt idx="69">
                  <c:v>100000</c:v>
                </c:pt>
                <c:pt idx="70" formatCode="General">
                  <c:v>105</c:v>
                </c:pt>
                <c:pt idx="71">
                  <c:v>12000</c:v>
                </c:pt>
                <c:pt idx="72">
                  <c:v>1332</c:v>
                </c:pt>
                <c:pt idx="73">
                  <c:v>1021</c:v>
                </c:pt>
                <c:pt idx="74">
                  <c:v>19500</c:v>
                </c:pt>
                <c:pt idx="75" formatCode="General">
                  <c:v>235</c:v>
                </c:pt>
                <c:pt idx="76">
                  <c:v>87000</c:v>
                </c:pt>
                <c:pt idx="77">
                  <c:v>315000</c:v>
                </c:pt>
                <c:pt idx="78">
                  <c:v>175000</c:v>
                </c:pt>
                <c:pt idx="79">
                  <c:v>81150</c:v>
                </c:pt>
                <c:pt idx="80">
                  <c:v>119700</c:v>
                </c:pt>
                <c:pt idx="81">
                  <c:v>119700</c:v>
                </c:pt>
                <c:pt idx="82">
                  <c:v>20200</c:v>
                </c:pt>
                <c:pt idx="83" formatCode="General">
                  <c:v>21</c:v>
                </c:pt>
                <c:pt idx="84">
                  <c:v>10650</c:v>
                </c:pt>
                <c:pt idx="85">
                  <c:v>101250</c:v>
                </c:pt>
                <c:pt idx="86">
                  <c:v>101250</c:v>
                </c:pt>
                <c:pt idx="87">
                  <c:v>1602330</c:v>
                </c:pt>
                <c:pt idx="88" formatCode="General">
                  <c:v>412.5</c:v>
                </c:pt>
                <c:pt idx="89">
                  <c:v>776</c:v>
                </c:pt>
                <c:pt idx="90">
                  <c:v>700000</c:v>
                </c:pt>
                <c:pt idx="91">
                  <c:v>4500</c:v>
                </c:pt>
                <c:pt idx="92">
                  <c:v>1500</c:v>
                </c:pt>
                <c:pt idx="93">
                  <c:v>413</c:v>
                </c:pt>
                <c:pt idx="94">
                  <c:v>277500</c:v>
                </c:pt>
                <c:pt idx="95">
                  <c:v>475000</c:v>
                </c:pt>
                <c:pt idx="96">
                  <c:v>103750</c:v>
                </c:pt>
                <c:pt idx="97">
                  <c:v>5200</c:v>
                </c:pt>
                <c:pt idx="98">
                  <c:v>4132</c:v>
                </c:pt>
              </c:numCache>
            </c:numRef>
          </c:xVal>
          <c:yVal>
            <c:numRef>
              <c:f>'Corrected &amp; Uncorrected Graphs'!$N$3:$N$101</c:f>
              <c:numCache>
                <c:formatCode>General</c:formatCode>
                <c:ptCount val="99"/>
                <c:pt idx="5">
                  <c:v>24</c:v>
                </c:pt>
                <c:pt idx="10">
                  <c:v>25</c:v>
                </c:pt>
                <c:pt idx="15">
                  <c:v>36</c:v>
                </c:pt>
                <c:pt idx="25">
                  <c:v>1240</c:v>
                </c:pt>
                <c:pt idx="28">
                  <c:v>232.9</c:v>
                </c:pt>
                <c:pt idx="35">
                  <c:v>215.8</c:v>
                </c:pt>
                <c:pt idx="40">
                  <c:v>8.6</c:v>
                </c:pt>
                <c:pt idx="47">
                  <c:v>41.1</c:v>
                </c:pt>
                <c:pt idx="51">
                  <c:v>640</c:v>
                </c:pt>
                <c:pt idx="56">
                  <c:v>16.2</c:v>
                </c:pt>
                <c:pt idx="57">
                  <c:v>354.7</c:v>
                </c:pt>
                <c:pt idx="58">
                  <c:v>1743.1</c:v>
                </c:pt>
                <c:pt idx="59">
                  <c:v>2842.33</c:v>
                </c:pt>
                <c:pt idx="60">
                  <c:v>1711.28</c:v>
                </c:pt>
                <c:pt idx="61">
                  <c:v>64.758300000000006</c:v>
                </c:pt>
                <c:pt idx="67">
                  <c:v>132</c:v>
                </c:pt>
                <c:pt idx="69">
                  <c:v>64.099999999999994</c:v>
                </c:pt>
                <c:pt idx="72">
                  <c:v>1030</c:v>
                </c:pt>
                <c:pt idx="73">
                  <c:v>101.9</c:v>
                </c:pt>
                <c:pt idx="74">
                  <c:v>302.2</c:v>
                </c:pt>
                <c:pt idx="77">
                  <c:v>41.648000000000003</c:v>
                </c:pt>
                <c:pt idx="83">
                  <c:v>1436.55</c:v>
                </c:pt>
                <c:pt idx="89">
                  <c:v>175</c:v>
                </c:pt>
                <c:pt idx="96">
                  <c:v>45.1</c:v>
                </c:pt>
              </c:numCache>
            </c:numRef>
          </c:yVal>
          <c:smooth val="0"/>
          <c:extLst>
            <c:ext xmlns:c16="http://schemas.microsoft.com/office/drawing/2014/chart" uri="{C3380CC4-5D6E-409C-BE32-E72D297353CC}">
              <c16:uniqueId val="{00000001-BD17-184F-B1F1-405310167426}"/>
            </c:ext>
          </c:extLst>
        </c:ser>
        <c:dLbls>
          <c:showLegendKey val="0"/>
          <c:showVal val="0"/>
          <c:showCatName val="0"/>
          <c:showSerName val="0"/>
          <c:showPercent val="0"/>
          <c:showBubbleSize val="0"/>
        </c:dLbls>
        <c:axId val="1500702864"/>
        <c:axId val="1501152976"/>
      </c:scatterChart>
      <c:valAx>
        <c:axId val="1500702864"/>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52976"/>
        <c:crosses val="autoZero"/>
        <c:crossBetween val="midCat"/>
      </c:valAx>
      <c:valAx>
        <c:axId val="1501152976"/>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70286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'Corrected &amp; Uncorrected Graphs'!$AD$3:$AD$101</c:f>
              <c:numCache>
                <c:formatCode>#,##0</c:formatCode>
                <c:ptCount val="99"/>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2">
                  <c:v>7000</c:v>
                </c:pt>
                <c:pt idx="23">
                  <c:v>2643</c:v>
                </c:pt>
                <c:pt idx="24">
                  <c:v>2643</c:v>
                </c:pt>
                <c:pt idx="25">
                  <c:v>2643</c:v>
                </c:pt>
                <c:pt idx="26">
                  <c:v>2643</c:v>
                </c:pt>
                <c:pt idx="27" formatCode="General">
                  <c:v>2800</c:v>
                </c:pt>
                <c:pt idx="28" formatCode="#,##0.00">
                  <c:v>38446.1</c:v>
                </c:pt>
                <c:pt idx="29">
                  <c:v>45.2</c:v>
                </c:pt>
                <c:pt idx="30">
                  <c:v>45.2</c:v>
                </c:pt>
                <c:pt idx="31">
                  <c:v>117500</c:v>
                </c:pt>
                <c:pt idx="32">
                  <c:v>102500</c:v>
                </c:pt>
                <c:pt idx="33">
                  <c:v>750000</c:v>
                </c:pt>
                <c:pt idx="34">
                  <c:v>434000</c:v>
                </c:pt>
                <c:pt idx="35" formatCode="General">
                  <c:v>22983.200000000001</c:v>
                </c:pt>
                <c:pt idx="36">
                  <c:v>61000</c:v>
                </c:pt>
                <c:pt idx="37">
                  <c:v>61000</c:v>
                </c:pt>
                <c:pt idx="38">
                  <c:v>21667</c:v>
                </c:pt>
                <c:pt idx="39" formatCode="General">
                  <c:v>728</c:v>
                </c:pt>
                <c:pt idx="40">
                  <c:v>2175000</c:v>
                </c:pt>
                <c:pt idx="41">
                  <c:v>6500</c:v>
                </c:pt>
                <c:pt idx="42">
                  <c:v>200000</c:v>
                </c:pt>
                <c:pt idx="43">
                  <c:v>215000</c:v>
                </c:pt>
                <c:pt idx="44">
                  <c:v>215000</c:v>
                </c:pt>
                <c:pt idx="45">
                  <c:v>215000</c:v>
                </c:pt>
                <c:pt idx="46">
                  <c:v>215000</c:v>
                </c:pt>
                <c:pt idx="47">
                  <c:v>215000</c:v>
                </c:pt>
                <c:pt idx="48">
                  <c:v>164500</c:v>
                </c:pt>
                <c:pt idx="49">
                  <c:v>164500</c:v>
                </c:pt>
                <c:pt idx="50">
                  <c:v>164500</c:v>
                </c:pt>
                <c:pt idx="51">
                  <c:v>164500</c:v>
                </c:pt>
                <c:pt idx="52">
                  <c:v>63000</c:v>
                </c:pt>
                <c:pt idx="53">
                  <c:v>3178000</c:v>
                </c:pt>
                <c:pt idx="54">
                  <c:v>3178000</c:v>
                </c:pt>
                <c:pt idx="55">
                  <c:v>444900</c:v>
                </c:pt>
                <c:pt idx="56">
                  <c:v>384000</c:v>
                </c:pt>
                <c:pt idx="57">
                  <c:v>3900</c:v>
                </c:pt>
                <c:pt idx="58">
                  <c:v>20.87</c:v>
                </c:pt>
                <c:pt idx="59">
                  <c:v>30</c:v>
                </c:pt>
                <c:pt idx="60">
                  <c:v>37</c:v>
                </c:pt>
                <c:pt idx="61">
                  <c:v>800000</c:v>
                </c:pt>
                <c:pt idx="62">
                  <c:v>1600</c:v>
                </c:pt>
                <c:pt idx="63">
                  <c:v>4175</c:v>
                </c:pt>
                <c:pt idx="64">
                  <c:v>4175</c:v>
                </c:pt>
                <c:pt idx="65" formatCode="General">
                  <c:v>3940034</c:v>
                </c:pt>
                <c:pt idx="66">
                  <c:v>26500</c:v>
                </c:pt>
                <c:pt idx="67">
                  <c:v>3500</c:v>
                </c:pt>
                <c:pt idx="68">
                  <c:v>17000</c:v>
                </c:pt>
                <c:pt idx="69">
                  <c:v>100000</c:v>
                </c:pt>
                <c:pt idx="70" formatCode="General">
                  <c:v>105</c:v>
                </c:pt>
                <c:pt idx="71">
                  <c:v>12000</c:v>
                </c:pt>
                <c:pt idx="72">
                  <c:v>1332</c:v>
                </c:pt>
                <c:pt idx="73">
                  <c:v>1021</c:v>
                </c:pt>
                <c:pt idx="74">
                  <c:v>19500</c:v>
                </c:pt>
                <c:pt idx="75" formatCode="General">
                  <c:v>235</c:v>
                </c:pt>
                <c:pt idx="76">
                  <c:v>87000</c:v>
                </c:pt>
                <c:pt idx="77">
                  <c:v>315000</c:v>
                </c:pt>
                <c:pt idx="78">
                  <c:v>175000</c:v>
                </c:pt>
                <c:pt idx="79">
                  <c:v>81150</c:v>
                </c:pt>
                <c:pt idx="80">
                  <c:v>119700</c:v>
                </c:pt>
                <c:pt idx="81">
                  <c:v>119700</c:v>
                </c:pt>
                <c:pt idx="82">
                  <c:v>20200</c:v>
                </c:pt>
                <c:pt idx="83" formatCode="General">
                  <c:v>21</c:v>
                </c:pt>
                <c:pt idx="84">
                  <c:v>10650</c:v>
                </c:pt>
                <c:pt idx="85">
                  <c:v>101250</c:v>
                </c:pt>
                <c:pt idx="86">
                  <c:v>101250</c:v>
                </c:pt>
                <c:pt idx="87">
                  <c:v>1602330</c:v>
                </c:pt>
                <c:pt idx="88" formatCode="General">
                  <c:v>412.5</c:v>
                </c:pt>
                <c:pt idx="89">
                  <c:v>776</c:v>
                </c:pt>
                <c:pt idx="90">
                  <c:v>700000</c:v>
                </c:pt>
                <c:pt idx="91">
                  <c:v>4500</c:v>
                </c:pt>
                <c:pt idx="92">
                  <c:v>1500</c:v>
                </c:pt>
                <c:pt idx="93">
                  <c:v>413</c:v>
                </c:pt>
                <c:pt idx="94">
                  <c:v>277500</c:v>
                </c:pt>
                <c:pt idx="95">
                  <c:v>475000</c:v>
                </c:pt>
                <c:pt idx="96">
                  <c:v>103750</c:v>
                </c:pt>
                <c:pt idx="97">
                  <c:v>5200</c:v>
                </c:pt>
                <c:pt idx="98">
                  <c:v>4132</c:v>
                </c:pt>
              </c:numCache>
            </c:numRef>
          </c:xVal>
          <c:yVal>
            <c:numRef>
              <c:f>'Corrected &amp; Uncorrected Graphs'!$C$3:$C$101</c:f>
              <c:numCache>
                <c:formatCode>General</c:formatCode>
                <c:ptCount val="99"/>
                <c:pt idx="0">
                  <c:v>51.7</c:v>
                </c:pt>
                <c:pt idx="1">
                  <c:v>197.69300000000001</c:v>
                </c:pt>
                <c:pt idx="2">
                  <c:v>1501</c:v>
                </c:pt>
                <c:pt idx="6">
                  <c:v>20</c:v>
                </c:pt>
                <c:pt idx="7">
                  <c:v>35.5</c:v>
                </c:pt>
                <c:pt idx="11">
                  <c:v>51.505000000000003</c:v>
                </c:pt>
                <c:pt idx="12">
                  <c:v>420</c:v>
                </c:pt>
                <c:pt idx="16">
                  <c:v>25.683</c:v>
                </c:pt>
                <c:pt idx="17">
                  <c:v>3.2</c:v>
                </c:pt>
                <c:pt idx="18">
                  <c:v>63.3</c:v>
                </c:pt>
                <c:pt idx="21">
                  <c:v>21</c:v>
                </c:pt>
                <c:pt idx="26">
                  <c:v>7860</c:v>
                </c:pt>
                <c:pt idx="27">
                  <c:v>4375</c:v>
                </c:pt>
                <c:pt idx="28">
                  <c:v>618.5</c:v>
                </c:pt>
                <c:pt idx="31">
                  <c:v>114.66</c:v>
                </c:pt>
                <c:pt idx="34">
                  <c:v>503.9</c:v>
                </c:pt>
                <c:pt idx="35">
                  <c:v>312.55</c:v>
                </c:pt>
                <c:pt idx="38">
                  <c:v>60.92</c:v>
                </c:pt>
                <c:pt idx="39">
                  <c:v>349.23</c:v>
                </c:pt>
                <c:pt idx="40">
                  <c:v>4.0999999999999996</c:v>
                </c:pt>
                <c:pt idx="47">
                  <c:v>6.3</c:v>
                </c:pt>
                <c:pt idx="51">
                  <c:v>30</c:v>
                </c:pt>
                <c:pt idx="52">
                  <c:v>43.75</c:v>
                </c:pt>
                <c:pt idx="53">
                  <c:v>49.643599999999999</c:v>
                </c:pt>
                <c:pt idx="57">
                  <c:v>213.6</c:v>
                </c:pt>
                <c:pt idx="61">
                  <c:v>23.725000000000001</c:v>
                </c:pt>
                <c:pt idx="62">
                  <c:v>1054</c:v>
                </c:pt>
                <c:pt idx="69">
                  <c:v>48.7</c:v>
                </c:pt>
                <c:pt idx="71">
                  <c:v>47.548299999999998</c:v>
                </c:pt>
                <c:pt idx="72">
                  <c:v>58.4</c:v>
                </c:pt>
                <c:pt idx="73">
                  <c:v>170.1</c:v>
                </c:pt>
                <c:pt idx="74">
                  <c:v>248.8</c:v>
                </c:pt>
                <c:pt idx="75">
                  <c:v>138.59800000000001</c:v>
                </c:pt>
                <c:pt idx="77">
                  <c:v>64.122</c:v>
                </c:pt>
                <c:pt idx="78">
                  <c:v>15.4489</c:v>
                </c:pt>
                <c:pt idx="79">
                  <c:v>307.8</c:v>
                </c:pt>
                <c:pt idx="87">
                  <c:v>9.66</c:v>
                </c:pt>
                <c:pt idx="88">
                  <c:v>263.02999999999997</c:v>
                </c:pt>
                <c:pt idx="89">
                  <c:v>110.2</c:v>
                </c:pt>
                <c:pt idx="91">
                  <c:v>2625</c:v>
                </c:pt>
                <c:pt idx="92">
                  <c:v>642.1</c:v>
                </c:pt>
                <c:pt idx="94">
                  <c:v>19.042999999999999</c:v>
                </c:pt>
                <c:pt idx="96">
                  <c:v>80.7</c:v>
                </c:pt>
              </c:numCache>
            </c:numRef>
          </c:yVal>
          <c:smooth val="0"/>
          <c:extLst>
            <c:ext xmlns:c16="http://schemas.microsoft.com/office/drawing/2014/chart" uri="{C3380CC4-5D6E-409C-BE32-E72D297353CC}">
              <c16:uniqueId val="{00000000-B698-7D4D-B755-C0C41C6CAEA9}"/>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'Corrected &amp; Uncorrected Graphs'!$C$25:$C$30</c:f>
              <c:numCache>
                <c:formatCode>General</c:formatCode>
                <c:ptCount val="6"/>
                <c:pt idx="4">
                  <c:v>7860</c:v>
                </c:pt>
                <c:pt idx="5">
                  <c:v>4375</c:v>
                </c:pt>
              </c:numCache>
            </c:numRef>
          </c:xVal>
          <c:yVal>
            <c:numRef>
              <c:f>'Corrected &amp; Uncorrected Graphs'!$AD$25:$AD$30</c:f>
              <c:numCache>
                <c:formatCode>#,##0</c:formatCode>
                <c:ptCount val="6"/>
                <c:pt idx="0">
                  <c:v>7000</c:v>
                </c:pt>
                <c:pt idx="1">
                  <c:v>2643</c:v>
                </c:pt>
                <c:pt idx="2">
                  <c:v>2643</c:v>
                </c:pt>
                <c:pt idx="3">
                  <c:v>2643</c:v>
                </c:pt>
                <c:pt idx="4">
                  <c:v>2643</c:v>
                </c:pt>
                <c:pt idx="5" formatCode="General">
                  <c:v>2800</c:v>
                </c:pt>
              </c:numCache>
            </c:numRef>
          </c:yVal>
          <c:smooth val="0"/>
          <c:extLst>
            <c:ext xmlns:c16="http://schemas.microsoft.com/office/drawing/2014/chart" uri="{C3380CC4-5D6E-409C-BE32-E72D297353CC}">
              <c16:uniqueId val="{00000002-B698-7D4D-B755-C0C41C6CAEA9}"/>
            </c:ext>
          </c:extLst>
        </c:ser>
        <c:ser>
          <c:idx val="2"/>
          <c:order val="2"/>
          <c:spPr>
            <a:ln w="25400" cap="rnd">
              <a:noFill/>
              <a:round/>
            </a:ln>
            <a:effectLst/>
          </c:spPr>
          <c:marker>
            <c:symbol val="circle"/>
            <c:size val="5"/>
            <c:spPr>
              <a:solidFill>
                <a:schemeClr val="accent3"/>
              </a:solidFill>
              <a:ln w="9525">
                <a:solidFill>
                  <a:schemeClr val="accent3"/>
                </a:solidFill>
              </a:ln>
              <a:effectLst/>
            </c:spPr>
          </c:marker>
          <c:xVal>
            <c:numRef>
              <c:f>'Corrected &amp; Uncorrected Graphs'!$AD$3:$AD$101</c:f>
              <c:numCache>
                <c:formatCode>#,##0</c:formatCode>
                <c:ptCount val="99"/>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2">
                  <c:v>7000</c:v>
                </c:pt>
                <c:pt idx="23">
                  <c:v>2643</c:v>
                </c:pt>
                <c:pt idx="24">
                  <c:v>2643</c:v>
                </c:pt>
                <c:pt idx="25">
                  <c:v>2643</c:v>
                </c:pt>
                <c:pt idx="26">
                  <c:v>2643</c:v>
                </c:pt>
                <c:pt idx="27" formatCode="General">
                  <c:v>2800</c:v>
                </c:pt>
                <c:pt idx="28" formatCode="#,##0.00">
                  <c:v>38446.1</c:v>
                </c:pt>
                <c:pt idx="29">
                  <c:v>45.2</c:v>
                </c:pt>
                <c:pt idx="30">
                  <c:v>45.2</c:v>
                </c:pt>
                <c:pt idx="31">
                  <c:v>117500</c:v>
                </c:pt>
                <c:pt idx="32">
                  <c:v>102500</c:v>
                </c:pt>
                <c:pt idx="33">
                  <c:v>750000</c:v>
                </c:pt>
                <c:pt idx="34">
                  <c:v>434000</c:v>
                </c:pt>
                <c:pt idx="35" formatCode="General">
                  <c:v>22983.200000000001</c:v>
                </c:pt>
                <c:pt idx="36">
                  <c:v>61000</c:v>
                </c:pt>
                <c:pt idx="37">
                  <c:v>61000</c:v>
                </c:pt>
                <c:pt idx="38">
                  <c:v>21667</c:v>
                </c:pt>
                <c:pt idx="39" formatCode="General">
                  <c:v>728</c:v>
                </c:pt>
                <c:pt idx="40">
                  <c:v>2175000</c:v>
                </c:pt>
                <c:pt idx="41">
                  <c:v>6500</c:v>
                </c:pt>
                <c:pt idx="42">
                  <c:v>200000</c:v>
                </c:pt>
                <c:pt idx="43">
                  <c:v>215000</c:v>
                </c:pt>
                <c:pt idx="44">
                  <c:v>215000</c:v>
                </c:pt>
                <c:pt idx="45">
                  <c:v>215000</c:v>
                </c:pt>
                <c:pt idx="46">
                  <c:v>215000</c:v>
                </c:pt>
                <c:pt idx="47">
                  <c:v>215000</c:v>
                </c:pt>
                <c:pt idx="48">
                  <c:v>164500</c:v>
                </c:pt>
                <c:pt idx="49">
                  <c:v>164500</c:v>
                </c:pt>
                <c:pt idx="50">
                  <c:v>164500</c:v>
                </c:pt>
                <c:pt idx="51">
                  <c:v>164500</c:v>
                </c:pt>
                <c:pt idx="52">
                  <c:v>63000</c:v>
                </c:pt>
                <c:pt idx="53">
                  <c:v>3178000</c:v>
                </c:pt>
                <c:pt idx="54">
                  <c:v>3178000</c:v>
                </c:pt>
                <c:pt idx="55">
                  <c:v>444900</c:v>
                </c:pt>
                <c:pt idx="56">
                  <c:v>384000</c:v>
                </c:pt>
                <c:pt idx="57">
                  <c:v>3900</c:v>
                </c:pt>
                <c:pt idx="58">
                  <c:v>20.87</c:v>
                </c:pt>
                <c:pt idx="59">
                  <c:v>30</c:v>
                </c:pt>
                <c:pt idx="60">
                  <c:v>37</c:v>
                </c:pt>
                <c:pt idx="61">
                  <c:v>800000</c:v>
                </c:pt>
                <c:pt idx="62">
                  <c:v>1600</c:v>
                </c:pt>
                <c:pt idx="63">
                  <c:v>4175</c:v>
                </c:pt>
                <c:pt idx="64">
                  <c:v>4175</c:v>
                </c:pt>
                <c:pt idx="65" formatCode="General">
                  <c:v>3940034</c:v>
                </c:pt>
                <c:pt idx="66">
                  <c:v>26500</c:v>
                </c:pt>
                <c:pt idx="67">
                  <c:v>3500</c:v>
                </c:pt>
                <c:pt idx="68">
                  <c:v>17000</c:v>
                </c:pt>
                <c:pt idx="69">
                  <c:v>100000</c:v>
                </c:pt>
                <c:pt idx="70" formatCode="General">
                  <c:v>105</c:v>
                </c:pt>
                <c:pt idx="71">
                  <c:v>12000</c:v>
                </c:pt>
                <c:pt idx="72">
                  <c:v>1332</c:v>
                </c:pt>
                <c:pt idx="73">
                  <c:v>1021</c:v>
                </c:pt>
                <c:pt idx="74">
                  <c:v>19500</c:v>
                </c:pt>
                <c:pt idx="75" formatCode="General">
                  <c:v>235</c:v>
                </c:pt>
                <c:pt idx="76">
                  <c:v>87000</c:v>
                </c:pt>
                <c:pt idx="77">
                  <c:v>315000</c:v>
                </c:pt>
                <c:pt idx="78">
                  <c:v>175000</c:v>
                </c:pt>
                <c:pt idx="79">
                  <c:v>81150</c:v>
                </c:pt>
                <c:pt idx="80">
                  <c:v>119700</c:v>
                </c:pt>
                <c:pt idx="81">
                  <c:v>119700</c:v>
                </c:pt>
                <c:pt idx="82">
                  <c:v>20200</c:v>
                </c:pt>
                <c:pt idx="83" formatCode="General">
                  <c:v>21</c:v>
                </c:pt>
                <c:pt idx="84">
                  <c:v>10650</c:v>
                </c:pt>
                <c:pt idx="85">
                  <c:v>101250</c:v>
                </c:pt>
                <c:pt idx="86">
                  <c:v>101250</c:v>
                </c:pt>
                <c:pt idx="87">
                  <c:v>1602330</c:v>
                </c:pt>
                <c:pt idx="88" formatCode="General">
                  <c:v>412.5</c:v>
                </c:pt>
                <c:pt idx="89">
                  <c:v>776</c:v>
                </c:pt>
                <c:pt idx="90">
                  <c:v>700000</c:v>
                </c:pt>
                <c:pt idx="91">
                  <c:v>4500</c:v>
                </c:pt>
                <c:pt idx="92">
                  <c:v>1500</c:v>
                </c:pt>
                <c:pt idx="93">
                  <c:v>413</c:v>
                </c:pt>
                <c:pt idx="94">
                  <c:v>277500</c:v>
                </c:pt>
                <c:pt idx="95">
                  <c:v>475000</c:v>
                </c:pt>
                <c:pt idx="96">
                  <c:v>103750</c:v>
                </c:pt>
                <c:pt idx="97">
                  <c:v>5200</c:v>
                </c:pt>
                <c:pt idx="98">
                  <c:v>4132</c:v>
                </c:pt>
              </c:numCache>
            </c:numRef>
          </c:xVal>
          <c:yVal>
            <c:numRef>
              <c:f>'Corrected &amp; Uncorrected Graphs'!$C$6:$C$24</c:f>
              <c:numCache>
                <c:formatCode>General</c:formatCode>
                <c:ptCount val="19"/>
                <c:pt idx="3">
                  <c:v>20</c:v>
                </c:pt>
                <c:pt idx="4">
                  <c:v>35.5</c:v>
                </c:pt>
                <c:pt idx="8">
                  <c:v>51.505000000000003</c:v>
                </c:pt>
                <c:pt idx="9">
                  <c:v>420</c:v>
                </c:pt>
                <c:pt idx="13">
                  <c:v>25.683</c:v>
                </c:pt>
                <c:pt idx="14">
                  <c:v>3.2</c:v>
                </c:pt>
                <c:pt idx="15">
                  <c:v>63.3</c:v>
                </c:pt>
                <c:pt idx="18">
                  <c:v>21</c:v>
                </c:pt>
              </c:numCache>
            </c:numRef>
          </c:yVal>
          <c:smooth val="0"/>
          <c:extLst>
            <c:ext xmlns:c16="http://schemas.microsoft.com/office/drawing/2014/chart" uri="{C3380CC4-5D6E-409C-BE32-E72D297353CC}">
              <c16:uniqueId val="{00000005-B698-7D4D-B755-C0C41C6CAEA9}"/>
            </c:ext>
          </c:extLst>
        </c:ser>
        <c:ser>
          <c:idx val="3"/>
          <c:order val="3"/>
          <c:spPr>
            <a:ln w="25400" cap="rnd">
              <a:noFill/>
              <a:round/>
            </a:ln>
            <a:effectLst/>
          </c:spPr>
          <c:marker>
            <c:symbol val="circle"/>
            <c:size val="5"/>
            <c:spPr>
              <a:solidFill>
                <a:schemeClr val="accent4"/>
              </a:solidFill>
              <a:ln w="9525">
                <a:solidFill>
                  <a:schemeClr val="accent4"/>
                </a:solidFill>
              </a:ln>
              <a:effectLst/>
            </c:spPr>
          </c:marker>
          <c:xVal>
            <c:numRef>
              <c:f>'Corrected &amp; Uncorrected Graphs'!$AD$3:$AD$101</c:f>
              <c:numCache>
                <c:formatCode>#,##0</c:formatCode>
                <c:ptCount val="99"/>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2">
                  <c:v>7000</c:v>
                </c:pt>
                <c:pt idx="23">
                  <c:v>2643</c:v>
                </c:pt>
                <c:pt idx="24">
                  <c:v>2643</c:v>
                </c:pt>
                <c:pt idx="25">
                  <c:v>2643</c:v>
                </c:pt>
                <c:pt idx="26">
                  <c:v>2643</c:v>
                </c:pt>
                <c:pt idx="27" formatCode="General">
                  <c:v>2800</c:v>
                </c:pt>
                <c:pt idx="28" formatCode="#,##0.00">
                  <c:v>38446.1</c:v>
                </c:pt>
                <c:pt idx="29">
                  <c:v>45.2</c:v>
                </c:pt>
                <c:pt idx="30">
                  <c:v>45.2</c:v>
                </c:pt>
                <c:pt idx="31">
                  <c:v>117500</c:v>
                </c:pt>
                <c:pt idx="32">
                  <c:v>102500</c:v>
                </c:pt>
                <c:pt idx="33">
                  <c:v>750000</c:v>
                </c:pt>
                <c:pt idx="34">
                  <c:v>434000</c:v>
                </c:pt>
                <c:pt idx="35" formatCode="General">
                  <c:v>22983.200000000001</c:v>
                </c:pt>
                <c:pt idx="36">
                  <c:v>61000</c:v>
                </c:pt>
                <c:pt idx="37">
                  <c:v>61000</c:v>
                </c:pt>
                <c:pt idx="38">
                  <c:v>21667</c:v>
                </c:pt>
                <c:pt idx="39" formatCode="General">
                  <c:v>728</c:v>
                </c:pt>
                <c:pt idx="40">
                  <c:v>2175000</c:v>
                </c:pt>
                <c:pt idx="41">
                  <c:v>6500</c:v>
                </c:pt>
                <c:pt idx="42">
                  <c:v>200000</c:v>
                </c:pt>
                <c:pt idx="43">
                  <c:v>215000</c:v>
                </c:pt>
                <c:pt idx="44">
                  <c:v>215000</c:v>
                </c:pt>
                <c:pt idx="45">
                  <c:v>215000</c:v>
                </c:pt>
                <c:pt idx="46">
                  <c:v>215000</c:v>
                </c:pt>
                <c:pt idx="47">
                  <c:v>215000</c:v>
                </c:pt>
                <c:pt idx="48">
                  <c:v>164500</c:v>
                </c:pt>
                <c:pt idx="49">
                  <c:v>164500</c:v>
                </c:pt>
                <c:pt idx="50">
                  <c:v>164500</c:v>
                </c:pt>
                <c:pt idx="51">
                  <c:v>164500</c:v>
                </c:pt>
                <c:pt idx="52">
                  <c:v>63000</c:v>
                </c:pt>
                <c:pt idx="53">
                  <c:v>3178000</c:v>
                </c:pt>
                <c:pt idx="54">
                  <c:v>3178000</c:v>
                </c:pt>
                <c:pt idx="55">
                  <c:v>444900</c:v>
                </c:pt>
                <c:pt idx="56">
                  <c:v>384000</c:v>
                </c:pt>
                <c:pt idx="57">
                  <c:v>3900</c:v>
                </c:pt>
                <c:pt idx="58">
                  <c:v>20.87</c:v>
                </c:pt>
                <c:pt idx="59">
                  <c:v>30</c:v>
                </c:pt>
                <c:pt idx="60">
                  <c:v>37</c:v>
                </c:pt>
                <c:pt idx="61">
                  <c:v>800000</c:v>
                </c:pt>
                <c:pt idx="62">
                  <c:v>1600</c:v>
                </c:pt>
                <c:pt idx="63">
                  <c:v>4175</c:v>
                </c:pt>
                <c:pt idx="64">
                  <c:v>4175</c:v>
                </c:pt>
                <c:pt idx="65" formatCode="General">
                  <c:v>3940034</c:v>
                </c:pt>
                <c:pt idx="66">
                  <c:v>26500</c:v>
                </c:pt>
                <c:pt idx="67">
                  <c:v>3500</c:v>
                </c:pt>
                <c:pt idx="68">
                  <c:v>17000</c:v>
                </c:pt>
                <c:pt idx="69">
                  <c:v>100000</c:v>
                </c:pt>
                <c:pt idx="70" formatCode="General">
                  <c:v>105</c:v>
                </c:pt>
                <c:pt idx="71">
                  <c:v>12000</c:v>
                </c:pt>
                <c:pt idx="72">
                  <c:v>1332</c:v>
                </c:pt>
                <c:pt idx="73">
                  <c:v>1021</c:v>
                </c:pt>
                <c:pt idx="74">
                  <c:v>19500</c:v>
                </c:pt>
                <c:pt idx="75" formatCode="General">
                  <c:v>235</c:v>
                </c:pt>
                <c:pt idx="76">
                  <c:v>87000</c:v>
                </c:pt>
                <c:pt idx="77">
                  <c:v>315000</c:v>
                </c:pt>
                <c:pt idx="78">
                  <c:v>175000</c:v>
                </c:pt>
                <c:pt idx="79">
                  <c:v>81150</c:v>
                </c:pt>
                <c:pt idx="80">
                  <c:v>119700</c:v>
                </c:pt>
                <c:pt idx="81">
                  <c:v>119700</c:v>
                </c:pt>
                <c:pt idx="82">
                  <c:v>20200</c:v>
                </c:pt>
                <c:pt idx="83" formatCode="General">
                  <c:v>21</c:v>
                </c:pt>
                <c:pt idx="84">
                  <c:v>10650</c:v>
                </c:pt>
                <c:pt idx="85">
                  <c:v>101250</c:v>
                </c:pt>
                <c:pt idx="86">
                  <c:v>101250</c:v>
                </c:pt>
                <c:pt idx="87">
                  <c:v>1602330</c:v>
                </c:pt>
                <c:pt idx="88" formatCode="General">
                  <c:v>412.5</c:v>
                </c:pt>
                <c:pt idx="89">
                  <c:v>776</c:v>
                </c:pt>
                <c:pt idx="90">
                  <c:v>700000</c:v>
                </c:pt>
                <c:pt idx="91">
                  <c:v>4500</c:v>
                </c:pt>
                <c:pt idx="92">
                  <c:v>1500</c:v>
                </c:pt>
                <c:pt idx="93">
                  <c:v>413</c:v>
                </c:pt>
                <c:pt idx="94">
                  <c:v>277500</c:v>
                </c:pt>
                <c:pt idx="95">
                  <c:v>475000</c:v>
                </c:pt>
                <c:pt idx="96">
                  <c:v>103750</c:v>
                </c:pt>
                <c:pt idx="97">
                  <c:v>5200</c:v>
                </c:pt>
                <c:pt idx="98">
                  <c:v>4132</c:v>
                </c:pt>
              </c:numCache>
            </c:numRef>
          </c:xVal>
          <c:yVal>
            <c:numRef>
              <c:f>'Corrected &amp; Uncorrected Graphs'!$AD$6:$AD$24</c:f>
              <c:numCache>
                <c:formatCode>#,##0</c:formatCode>
                <c:ptCount val="19"/>
                <c:pt idx="0">
                  <c:v>139842</c:v>
                </c:pt>
                <c:pt idx="1">
                  <c:v>139842</c:v>
                </c:pt>
                <c:pt idx="2">
                  <c:v>139842</c:v>
                </c:pt>
                <c:pt idx="3">
                  <c:v>139842</c:v>
                </c:pt>
                <c:pt idx="4">
                  <c:v>5735</c:v>
                </c:pt>
                <c:pt idx="5">
                  <c:v>5735</c:v>
                </c:pt>
                <c:pt idx="6">
                  <c:v>5735</c:v>
                </c:pt>
                <c:pt idx="7">
                  <c:v>5735</c:v>
                </c:pt>
                <c:pt idx="8" formatCode="General">
                  <c:v>11950</c:v>
                </c:pt>
                <c:pt idx="9" formatCode="General">
                  <c:v>64.8</c:v>
                </c:pt>
                <c:pt idx="10" formatCode="General">
                  <c:v>64.8</c:v>
                </c:pt>
                <c:pt idx="11" formatCode="General">
                  <c:v>64.8</c:v>
                </c:pt>
                <c:pt idx="12" formatCode="General">
                  <c:v>64.8</c:v>
                </c:pt>
                <c:pt idx="13">
                  <c:v>1300</c:v>
                </c:pt>
                <c:pt idx="14">
                  <c:v>45000</c:v>
                </c:pt>
                <c:pt idx="15">
                  <c:v>18000</c:v>
                </c:pt>
                <c:pt idx="16">
                  <c:v>5000</c:v>
                </c:pt>
                <c:pt idx="17">
                  <c:v>5000</c:v>
                </c:pt>
                <c:pt idx="18">
                  <c:v>5000</c:v>
                </c:pt>
              </c:numCache>
            </c:numRef>
          </c:yVal>
          <c:smooth val="0"/>
          <c:extLst>
            <c:ext xmlns:c16="http://schemas.microsoft.com/office/drawing/2014/chart" uri="{C3380CC4-5D6E-409C-BE32-E72D297353CC}">
              <c16:uniqueId val="{00000006-B698-7D4D-B755-C0C41C6CAEA9}"/>
            </c:ext>
          </c:extLst>
        </c:ser>
        <c:dLbls>
          <c:showLegendKey val="0"/>
          <c:showVal val="0"/>
          <c:showCatName val="0"/>
          <c:showSerName val="0"/>
          <c:showPercent val="0"/>
          <c:showBubbleSize val="0"/>
        </c:dLbls>
        <c:axId val="1198916912"/>
        <c:axId val="1250939888"/>
      </c:scatterChart>
      <c:valAx>
        <c:axId val="1198916912"/>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39888"/>
        <c:crosses val="autoZero"/>
        <c:crossBetween val="midCat"/>
      </c:valAx>
      <c:valAx>
        <c:axId val="1250939888"/>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9169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Sheet4!$B$1:$B$20</c:f>
              <c:strCache>
                <c:ptCount val="20"/>
                <c:pt idx="0">
                  <c:v>24.02</c:v>
                </c:pt>
                <c:pt idx="1">
                  <c:v>26.03</c:v>
                </c:pt>
                <c:pt idx="2">
                  <c:v>27.00</c:v>
                </c:pt>
                <c:pt idx="3">
                  <c:v>35.90</c:v>
                </c:pt>
                <c:pt idx="4">
                  <c:v>40.19</c:v>
                </c:pt>
                <c:pt idx="5">
                  <c:v>40.70</c:v>
                </c:pt>
                <c:pt idx="6">
                  <c:v>41.30</c:v>
                </c:pt>
                <c:pt idx="7">
                  <c:v>43.50</c:v>
                </c:pt>
                <c:pt idx="8">
                  <c:v>54.60</c:v>
                </c:pt>
                <c:pt idx="9">
                  <c:v>60.66</c:v>
                </c:pt>
                <c:pt idx="10">
                  <c:v>64.64</c:v>
                </c:pt>
                <c:pt idx="11">
                  <c:v>66.60</c:v>
                </c:pt>
                <c:pt idx="12">
                  <c:v>67.50</c:v>
                </c:pt>
                <c:pt idx="13">
                  <c:v>84.50</c:v>
                </c:pt>
                <c:pt idx="14">
                  <c:v>88.48</c:v>
                </c:pt>
                <c:pt idx="15">
                  <c:v>96.40</c:v>
                </c:pt>
                <c:pt idx="16">
                  <c:v>101.45</c:v>
                </c:pt>
                <c:pt idx="17">
                  <c:v>101.46</c:v>
                </c:pt>
                <c:pt idx="18">
                  <c:v>120.00</c:v>
                </c:pt>
                <c:pt idx="19">
                  <c:v>124.00</c:v>
                </c:pt>
              </c:strCache>
            </c:strRef>
          </c:tx>
          <c:spPr>
            <a:ln w="19050" cap="rnd">
              <a:noFill/>
              <a:round/>
            </a:ln>
            <a:effectLst/>
          </c:spPr>
          <c:marker>
            <c:symbol val="circle"/>
            <c:size val="5"/>
            <c:spPr>
              <a:solidFill>
                <a:schemeClr val="accent1"/>
              </a:solidFill>
              <a:ln w="9525">
                <a:solidFill>
                  <a:schemeClr val="accent1"/>
                </a:solidFill>
              </a:ln>
              <a:effectLst/>
            </c:spPr>
          </c:marker>
          <c:xVal>
            <c:numRef>
              <c:f>Sheet4!$A$21:$A$94</c:f>
              <c:numCache>
                <c:formatCode>0.00</c:formatCode>
                <c:ptCount val="74"/>
                <c:pt idx="0">
                  <c:v>3178000</c:v>
                </c:pt>
                <c:pt idx="1">
                  <c:v>102500</c:v>
                </c:pt>
                <c:pt idx="2">
                  <c:v>215000</c:v>
                </c:pt>
                <c:pt idx="3">
                  <c:v>2643</c:v>
                </c:pt>
                <c:pt idx="4">
                  <c:v>17000</c:v>
                </c:pt>
                <c:pt idx="5">
                  <c:v>64.8</c:v>
                </c:pt>
                <c:pt idx="6">
                  <c:v>105</c:v>
                </c:pt>
                <c:pt idx="7">
                  <c:v>26500</c:v>
                </c:pt>
                <c:pt idx="8">
                  <c:v>61000</c:v>
                </c:pt>
                <c:pt idx="9">
                  <c:v>3940034</c:v>
                </c:pt>
                <c:pt idx="10">
                  <c:v>164500</c:v>
                </c:pt>
                <c:pt idx="11">
                  <c:v>139842</c:v>
                </c:pt>
                <c:pt idx="12">
                  <c:v>4132</c:v>
                </c:pt>
                <c:pt idx="13">
                  <c:v>434000</c:v>
                </c:pt>
                <c:pt idx="14">
                  <c:v>164500</c:v>
                </c:pt>
                <c:pt idx="15">
                  <c:v>139842</c:v>
                </c:pt>
                <c:pt idx="16">
                  <c:v>164500</c:v>
                </c:pt>
                <c:pt idx="17">
                  <c:v>5200</c:v>
                </c:pt>
                <c:pt idx="18">
                  <c:v>5000</c:v>
                </c:pt>
                <c:pt idx="19">
                  <c:v>2643</c:v>
                </c:pt>
                <c:pt idx="20">
                  <c:v>164500</c:v>
                </c:pt>
                <c:pt idx="21">
                  <c:v>45.2</c:v>
                </c:pt>
                <c:pt idx="22">
                  <c:v>1332</c:v>
                </c:pt>
                <c:pt idx="23">
                  <c:v>5735</c:v>
                </c:pt>
                <c:pt idx="24">
                  <c:v>5000</c:v>
                </c:pt>
                <c:pt idx="25">
                  <c:v>10650</c:v>
                </c:pt>
                <c:pt idx="26">
                  <c:v>5735</c:v>
                </c:pt>
                <c:pt idx="27">
                  <c:v>45.2</c:v>
                </c:pt>
                <c:pt idx="28">
                  <c:v>7000</c:v>
                </c:pt>
                <c:pt idx="29">
                  <c:v>139842</c:v>
                </c:pt>
                <c:pt idx="30">
                  <c:v>139842</c:v>
                </c:pt>
                <c:pt idx="31">
                  <c:v>5735</c:v>
                </c:pt>
                <c:pt idx="32">
                  <c:v>5735</c:v>
                </c:pt>
                <c:pt idx="33">
                  <c:v>11950</c:v>
                </c:pt>
                <c:pt idx="34">
                  <c:v>64.8</c:v>
                </c:pt>
                <c:pt idx="35">
                  <c:v>64.8</c:v>
                </c:pt>
                <c:pt idx="36">
                  <c:v>1300</c:v>
                </c:pt>
                <c:pt idx="37">
                  <c:v>45000</c:v>
                </c:pt>
                <c:pt idx="38">
                  <c:v>18000</c:v>
                </c:pt>
                <c:pt idx="39">
                  <c:v>5000</c:v>
                </c:pt>
                <c:pt idx="40">
                  <c:v>2643</c:v>
                </c:pt>
                <c:pt idx="41">
                  <c:v>2643</c:v>
                </c:pt>
                <c:pt idx="42">
                  <c:v>2800</c:v>
                </c:pt>
                <c:pt idx="43">
                  <c:v>38446.1</c:v>
                </c:pt>
                <c:pt idx="44">
                  <c:v>117500</c:v>
                </c:pt>
                <c:pt idx="45">
                  <c:v>22983.200000000001</c:v>
                </c:pt>
                <c:pt idx="46">
                  <c:v>21667</c:v>
                </c:pt>
                <c:pt idx="47">
                  <c:v>728</c:v>
                </c:pt>
                <c:pt idx="48">
                  <c:v>2175000</c:v>
                </c:pt>
                <c:pt idx="49">
                  <c:v>215000</c:v>
                </c:pt>
                <c:pt idx="50">
                  <c:v>63000</c:v>
                </c:pt>
                <c:pt idx="51">
                  <c:v>3178000</c:v>
                </c:pt>
                <c:pt idx="52">
                  <c:v>384000</c:v>
                </c:pt>
                <c:pt idx="53">
                  <c:v>3900</c:v>
                </c:pt>
                <c:pt idx="54">
                  <c:v>20.87</c:v>
                </c:pt>
                <c:pt idx="55">
                  <c:v>30</c:v>
                </c:pt>
                <c:pt idx="56">
                  <c:v>37</c:v>
                </c:pt>
                <c:pt idx="57">
                  <c:v>1600</c:v>
                </c:pt>
                <c:pt idx="58">
                  <c:v>3500</c:v>
                </c:pt>
                <c:pt idx="59">
                  <c:v>100000</c:v>
                </c:pt>
                <c:pt idx="60">
                  <c:v>12000</c:v>
                </c:pt>
                <c:pt idx="61">
                  <c:v>1021</c:v>
                </c:pt>
                <c:pt idx="62">
                  <c:v>19500</c:v>
                </c:pt>
                <c:pt idx="63">
                  <c:v>235</c:v>
                </c:pt>
                <c:pt idx="64">
                  <c:v>315000</c:v>
                </c:pt>
                <c:pt idx="65">
                  <c:v>175000</c:v>
                </c:pt>
                <c:pt idx="66">
                  <c:v>81150</c:v>
                </c:pt>
                <c:pt idx="67">
                  <c:v>21</c:v>
                </c:pt>
                <c:pt idx="68">
                  <c:v>1602330</c:v>
                </c:pt>
                <c:pt idx="69">
                  <c:v>412.5</c:v>
                </c:pt>
                <c:pt idx="70">
                  <c:v>776</c:v>
                </c:pt>
                <c:pt idx="71">
                  <c:v>1500</c:v>
                </c:pt>
                <c:pt idx="72">
                  <c:v>277500</c:v>
                </c:pt>
                <c:pt idx="73">
                  <c:v>103750</c:v>
                </c:pt>
              </c:numCache>
            </c:numRef>
          </c:xVal>
          <c:yVal>
            <c:numRef>
              <c:f>Sheet4!$B$21:$B$94</c:f>
              <c:numCache>
                <c:formatCode>0.00</c:formatCode>
                <c:ptCount val="74"/>
                <c:pt idx="0">
                  <c:v>126.7</c:v>
                </c:pt>
                <c:pt idx="1">
                  <c:v>130.333</c:v>
                </c:pt>
                <c:pt idx="2">
                  <c:v>147.15</c:v>
                </c:pt>
                <c:pt idx="3">
                  <c:v>165</c:v>
                </c:pt>
                <c:pt idx="4">
                  <c:v>181.5</c:v>
                </c:pt>
                <c:pt idx="5">
                  <c:v>200</c:v>
                </c:pt>
                <c:pt idx="6">
                  <c:v>204.55</c:v>
                </c:pt>
                <c:pt idx="7">
                  <c:v>267.75</c:v>
                </c:pt>
                <c:pt idx="8">
                  <c:v>316</c:v>
                </c:pt>
                <c:pt idx="9">
                  <c:v>332</c:v>
                </c:pt>
                <c:pt idx="10">
                  <c:v>435</c:v>
                </c:pt>
                <c:pt idx="11">
                  <c:v>450</c:v>
                </c:pt>
                <c:pt idx="12">
                  <c:v>475</c:v>
                </c:pt>
                <c:pt idx="13" formatCode="General">
                  <c:v>503.9</c:v>
                </c:pt>
                <c:pt idx="14">
                  <c:v>530</c:v>
                </c:pt>
                <c:pt idx="15">
                  <c:v>620</c:v>
                </c:pt>
                <c:pt idx="16">
                  <c:v>670</c:v>
                </c:pt>
                <c:pt idx="17">
                  <c:v>695</c:v>
                </c:pt>
                <c:pt idx="18">
                  <c:v>917.5</c:v>
                </c:pt>
                <c:pt idx="19">
                  <c:v>935</c:v>
                </c:pt>
                <c:pt idx="20">
                  <c:v>1050</c:v>
                </c:pt>
                <c:pt idx="21">
                  <c:v>1077.33</c:v>
                </c:pt>
                <c:pt idx="22">
                  <c:v>1088.4000000000001</c:v>
                </c:pt>
                <c:pt idx="23">
                  <c:v>1120</c:v>
                </c:pt>
                <c:pt idx="24">
                  <c:v>1270</c:v>
                </c:pt>
                <c:pt idx="25">
                  <c:v>1711.15</c:v>
                </c:pt>
                <c:pt idx="26">
                  <c:v>3125</c:v>
                </c:pt>
                <c:pt idx="27">
                  <c:v>3524.28</c:v>
                </c:pt>
                <c:pt idx="28">
                  <c:v>0</c:v>
                </c:pt>
              </c:numCache>
            </c:numRef>
          </c:yVal>
          <c:smooth val="0"/>
          <c:extLst>
            <c:ext xmlns:c16="http://schemas.microsoft.com/office/drawing/2014/chart" uri="{C3380CC4-5D6E-409C-BE32-E72D297353CC}">
              <c16:uniqueId val="{00000000-678B-4233-AD1F-810DE36C6798}"/>
            </c:ext>
          </c:extLst>
        </c:ser>
        <c:dLbls>
          <c:showLegendKey val="0"/>
          <c:showVal val="0"/>
          <c:showCatName val="0"/>
          <c:showSerName val="0"/>
          <c:showPercent val="0"/>
          <c:showBubbleSize val="0"/>
        </c:dLbls>
        <c:axId val="728117152"/>
        <c:axId val="728119072"/>
      </c:scatterChart>
      <c:valAx>
        <c:axId val="7281171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119072"/>
        <c:crosses val="autoZero"/>
        <c:crossBetween val="midCat"/>
      </c:valAx>
      <c:valAx>
        <c:axId val="728119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1171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5.5822397200349953E-3"/>
                  <c:y val="-0.4574952610090405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Sheet4!$A$1:$A$48</c:f>
              <c:numCache>
                <c:formatCode>0.00</c:formatCode>
                <c:ptCount val="48"/>
                <c:pt idx="0">
                  <c:v>444900</c:v>
                </c:pt>
                <c:pt idx="1">
                  <c:v>200000</c:v>
                </c:pt>
                <c:pt idx="2">
                  <c:v>215000</c:v>
                </c:pt>
                <c:pt idx="3">
                  <c:v>20200</c:v>
                </c:pt>
                <c:pt idx="4">
                  <c:v>700000</c:v>
                </c:pt>
                <c:pt idx="5">
                  <c:v>215000</c:v>
                </c:pt>
                <c:pt idx="6">
                  <c:v>101250</c:v>
                </c:pt>
                <c:pt idx="7">
                  <c:v>215000</c:v>
                </c:pt>
                <c:pt idx="8">
                  <c:v>4175</c:v>
                </c:pt>
                <c:pt idx="9">
                  <c:v>101250</c:v>
                </c:pt>
                <c:pt idx="10">
                  <c:v>475000</c:v>
                </c:pt>
                <c:pt idx="11">
                  <c:v>4175</c:v>
                </c:pt>
                <c:pt idx="12">
                  <c:v>87000</c:v>
                </c:pt>
                <c:pt idx="13">
                  <c:v>6500</c:v>
                </c:pt>
                <c:pt idx="14">
                  <c:v>800000</c:v>
                </c:pt>
                <c:pt idx="15">
                  <c:v>750000</c:v>
                </c:pt>
                <c:pt idx="16">
                  <c:v>119700</c:v>
                </c:pt>
                <c:pt idx="17">
                  <c:v>119700</c:v>
                </c:pt>
                <c:pt idx="18">
                  <c:v>64.8</c:v>
                </c:pt>
                <c:pt idx="19">
                  <c:v>61000</c:v>
                </c:pt>
                <c:pt idx="20">
                  <c:v>3178000</c:v>
                </c:pt>
                <c:pt idx="21">
                  <c:v>102500</c:v>
                </c:pt>
                <c:pt idx="22">
                  <c:v>215000</c:v>
                </c:pt>
                <c:pt idx="23">
                  <c:v>2643</c:v>
                </c:pt>
                <c:pt idx="24">
                  <c:v>17000</c:v>
                </c:pt>
                <c:pt idx="25">
                  <c:v>64.8</c:v>
                </c:pt>
                <c:pt idx="26">
                  <c:v>105</c:v>
                </c:pt>
                <c:pt idx="27">
                  <c:v>26500</c:v>
                </c:pt>
                <c:pt idx="28">
                  <c:v>61000</c:v>
                </c:pt>
                <c:pt idx="29">
                  <c:v>3940034</c:v>
                </c:pt>
                <c:pt idx="30">
                  <c:v>164500</c:v>
                </c:pt>
                <c:pt idx="31">
                  <c:v>139842</c:v>
                </c:pt>
                <c:pt idx="32">
                  <c:v>4132</c:v>
                </c:pt>
                <c:pt idx="33">
                  <c:v>434000</c:v>
                </c:pt>
                <c:pt idx="34">
                  <c:v>164500</c:v>
                </c:pt>
                <c:pt idx="35">
                  <c:v>139842</c:v>
                </c:pt>
                <c:pt idx="36">
                  <c:v>164500</c:v>
                </c:pt>
                <c:pt idx="37">
                  <c:v>5200</c:v>
                </c:pt>
                <c:pt idx="38">
                  <c:v>5000</c:v>
                </c:pt>
                <c:pt idx="39">
                  <c:v>2643</c:v>
                </c:pt>
                <c:pt idx="40">
                  <c:v>164500</c:v>
                </c:pt>
                <c:pt idx="41">
                  <c:v>45.2</c:v>
                </c:pt>
                <c:pt idx="42">
                  <c:v>1332</c:v>
                </c:pt>
                <c:pt idx="43">
                  <c:v>5735</c:v>
                </c:pt>
                <c:pt idx="44">
                  <c:v>5000</c:v>
                </c:pt>
                <c:pt idx="45">
                  <c:v>10650</c:v>
                </c:pt>
                <c:pt idx="46">
                  <c:v>5735</c:v>
                </c:pt>
                <c:pt idx="47">
                  <c:v>45.2</c:v>
                </c:pt>
              </c:numCache>
            </c:numRef>
          </c:xVal>
          <c:yVal>
            <c:numRef>
              <c:f>Sheet4!$B$1:$B$48</c:f>
              <c:numCache>
                <c:formatCode>0.00</c:formatCode>
                <c:ptCount val="48"/>
                <c:pt idx="0">
                  <c:v>24.02</c:v>
                </c:pt>
                <c:pt idx="1">
                  <c:v>26.03</c:v>
                </c:pt>
                <c:pt idx="2">
                  <c:v>27</c:v>
                </c:pt>
                <c:pt idx="3">
                  <c:v>35.9</c:v>
                </c:pt>
                <c:pt idx="4">
                  <c:v>40.19</c:v>
                </c:pt>
                <c:pt idx="5">
                  <c:v>40.700000000000003</c:v>
                </c:pt>
                <c:pt idx="6">
                  <c:v>41.3</c:v>
                </c:pt>
                <c:pt idx="7">
                  <c:v>43.5</c:v>
                </c:pt>
                <c:pt idx="8">
                  <c:v>54.6</c:v>
                </c:pt>
                <c:pt idx="9">
                  <c:v>60.66</c:v>
                </c:pt>
                <c:pt idx="10">
                  <c:v>64.635000000000005</c:v>
                </c:pt>
                <c:pt idx="11">
                  <c:v>66.599999999999994</c:v>
                </c:pt>
                <c:pt idx="12">
                  <c:v>67.5</c:v>
                </c:pt>
                <c:pt idx="13">
                  <c:v>84.5</c:v>
                </c:pt>
                <c:pt idx="14">
                  <c:v>88.4833</c:v>
                </c:pt>
                <c:pt idx="15">
                  <c:v>96.4</c:v>
                </c:pt>
                <c:pt idx="16">
                  <c:v>101.44499999999999</c:v>
                </c:pt>
                <c:pt idx="17">
                  <c:v>101.455</c:v>
                </c:pt>
                <c:pt idx="18">
                  <c:v>120</c:v>
                </c:pt>
                <c:pt idx="19">
                  <c:v>124</c:v>
                </c:pt>
                <c:pt idx="20">
                  <c:v>126.7</c:v>
                </c:pt>
                <c:pt idx="21">
                  <c:v>130.333</c:v>
                </c:pt>
                <c:pt idx="22">
                  <c:v>147.15</c:v>
                </c:pt>
                <c:pt idx="23">
                  <c:v>165</c:v>
                </c:pt>
                <c:pt idx="24">
                  <c:v>181.5</c:v>
                </c:pt>
                <c:pt idx="25">
                  <c:v>200</c:v>
                </c:pt>
                <c:pt idx="26">
                  <c:v>204.55</c:v>
                </c:pt>
                <c:pt idx="27">
                  <c:v>267.75</c:v>
                </c:pt>
                <c:pt idx="28">
                  <c:v>316</c:v>
                </c:pt>
                <c:pt idx="29">
                  <c:v>332</c:v>
                </c:pt>
                <c:pt idx="30">
                  <c:v>435</c:v>
                </c:pt>
                <c:pt idx="31">
                  <c:v>450</c:v>
                </c:pt>
                <c:pt idx="32">
                  <c:v>475</c:v>
                </c:pt>
                <c:pt idx="33" formatCode="General">
                  <c:v>503.9</c:v>
                </c:pt>
                <c:pt idx="34">
                  <c:v>530</c:v>
                </c:pt>
                <c:pt idx="35">
                  <c:v>620</c:v>
                </c:pt>
                <c:pt idx="36">
                  <c:v>670</c:v>
                </c:pt>
                <c:pt idx="37">
                  <c:v>695</c:v>
                </c:pt>
                <c:pt idx="38">
                  <c:v>917.5</c:v>
                </c:pt>
                <c:pt idx="39">
                  <c:v>935</c:v>
                </c:pt>
                <c:pt idx="40">
                  <c:v>1050</c:v>
                </c:pt>
                <c:pt idx="41">
                  <c:v>1077.33</c:v>
                </c:pt>
                <c:pt idx="42">
                  <c:v>1088.4000000000001</c:v>
                </c:pt>
                <c:pt idx="43">
                  <c:v>1120</c:v>
                </c:pt>
                <c:pt idx="44">
                  <c:v>1270</c:v>
                </c:pt>
                <c:pt idx="45">
                  <c:v>1711.15</c:v>
                </c:pt>
                <c:pt idx="46">
                  <c:v>3125</c:v>
                </c:pt>
                <c:pt idx="47">
                  <c:v>3524.28</c:v>
                </c:pt>
              </c:numCache>
            </c:numRef>
          </c:yVal>
          <c:smooth val="0"/>
          <c:extLst>
            <c:ext xmlns:c16="http://schemas.microsoft.com/office/drawing/2014/chart" uri="{C3380CC4-5D6E-409C-BE32-E72D297353CC}">
              <c16:uniqueId val="{00000000-B76B-40B4-ABB5-030AD866F8C4}"/>
            </c:ext>
          </c:extLst>
        </c:ser>
        <c:dLbls>
          <c:showLegendKey val="0"/>
          <c:showVal val="0"/>
          <c:showCatName val="0"/>
          <c:showSerName val="0"/>
          <c:showPercent val="0"/>
          <c:showBubbleSize val="0"/>
        </c:dLbls>
        <c:axId val="782137024"/>
        <c:axId val="782151424"/>
      </c:scatterChart>
      <c:valAx>
        <c:axId val="782137024"/>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51424"/>
        <c:crosses val="autoZero"/>
        <c:crossBetween val="midCat"/>
      </c:valAx>
      <c:valAx>
        <c:axId val="78215142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370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Cortisol</a:t>
            </a:r>
            <a:r>
              <a:rPr lang="en-US" baseline="0"/>
              <a:t> vs. Body Mass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'New &amp; Old World Primate Graphs'!$D$1</c:f>
              <c:strCache>
                <c:ptCount val="1"/>
                <c:pt idx="0">
                  <c:v>Basal Cortisol (ng/g)</c:v>
                </c:pt>
              </c:strCache>
            </c:strRef>
          </c:tx>
          <c:spPr>
            <a:ln w="19050" cap="rnd">
              <a:noFill/>
              <a:round/>
            </a:ln>
            <a:effectLst/>
          </c:spPr>
          <c:marker>
            <c:symbol val="circle"/>
            <c:size val="5"/>
            <c:spPr>
              <a:solidFill>
                <a:schemeClr val="accent1"/>
              </a:solidFill>
              <a:ln w="9525">
                <a:solidFill>
                  <a:schemeClr val="accent1"/>
                </a:solidFill>
              </a:ln>
              <a:effectLst/>
            </c:spPr>
          </c:marker>
          <c:xVal>
            <c:numRef>
              <c:f>'New &amp; Old World Primate Graphs'!$C$2:$C$366</c:f>
              <c:numCache>
                <c:formatCode>#,##0</c:formatCode>
                <c:ptCount val="365"/>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2">
                  <c:v>7000</c:v>
                </c:pt>
                <c:pt idx="23">
                  <c:v>2643</c:v>
                </c:pt>
                <c:pt idx="24">
                  <c:v>2643</c:v>
                </c:pt>
                <c:pt idx="25">
                  <c:v>2643</c:v>
                </c:pt>
                <c:pt idx="26">
                  <c:v>2643</c:v>
                </c:pt>
                <c:pt idx="27" formatCode="General">
                  <c:v>2800</c:v>
                </c:pt>
                <c:pt idx="28" formatCode="#,##0.00">
                  <c:v>38446.1</c:v>
                </c:pt>
                <c:pt idx="29">
                  <c:v>45.2</c:v>
                </c:pt>
                <c:pt idx="30">
                  <c:v>45.2</c:v>
                </c:pt>
                <c:pt idx="31">
                  <c:v>117500</c:v>
                </c:pt>
                <c:pt idx="32">
                  <c:v>102500</c:v>
                </c:pt>
                <c:pt idx="33">
                  <c:v>750000</c:v>
                </c:pt>
                <c:pt idx="34">
                  <c:v>434000</c:v>
                </c:pt>
                <c:pt idx="35" formatCode="General">
                  <c:v>22983.200000000001</c:v>
                </c:pt>
                <c:pt idx="36">
                  <c:v>61000</c:v>
                </c:pt>
                <c:pt idx="37">
                  <c:v>61000</c:v>
                </c:pt>
                <c:pt idx="38">
                  <c:v>21667</c:v>
                </c:pt>
                <c:pt idx="39" formatCode="General">
                  <c:v>728</c:v>
                </c:pt>
                <c:pt idx="40">
                  <c:v>2175000</c:v>
                </c:pt>
                <c:pt idx="41">
                  <c:v>6500</c:v>
                </c:pt>
                <c:pt idx="42">
                  <c:v>200000</c:v>
                </c:pt>
                <c:pt idx="43">
                  <c:v>215000</c:v>
                </c:pt>
                <c:pt idx="44">
                  <c:v>215000</c:v>
                </c:pt>
                <c:pt idx="45">
                  <c:v>215000</c:v>
                </c:pt>
                <c:pt idx="46">
                  <c:v>215000</c:v>
                </c:pt>
                <c:pt idx="47">
                  <c:v>215000</c:v>
                </c:pt>
                <c:pt idx="48">
                  <c:v>164500</c:v>
                </c:pt>
                <c:pt idx="49">
                  <c:v>164500</c:v>
                </c:pt>
                <c:pt idx="50">
                  <c:v>164500</c:v>
                </c:pt>
                <c:pt idx="51">
                  <c:v>164500</c:v>
                </c:pt>
                <c:pt idx="52">
                  <c:v>63000</c:v>
                </c:pt>
                <c:pt idx="53">
                  <c:v>3178000</c:v>
                </c:pt>
                <c:pt idx="54">
                  <c:v>3178000</c:v>
                </c:pt>
                <c:pt idx="55">
                  <c:v>444900</c:v>
                </c:pt>
                <c:pt idx="56">
                  <c:v>384000</c:v>
                </c:pt>
                <c:pt idx="57">
                  <c:v>3900</c:v>
                </c:pt>
                <c:pt idx="58">
                  <c:v>20.87</c:v>
                </c:pt>
                <c:pt idx="59">
                  <c:v>30</c:v>
                </c:pt>
                <c:pt idx="60">
                  <c:v>37</c:v>
                </c:pt>
                <c:pt idx="61">
                  <c:v>800000</c:v>
                </c:pt>
                <c:pt idx="62">
                  <c:v>1600</c:v>
                </c:pt>
                <c:pt idx="63">
                  <c:v>4175</c:v>
                </c:pt>
                <c:pt idx="64">
                  <c:v>4175</c:v>
                </c:pt>
                <c:pt idx="65" formatCode="General">
                  <c:v>3940034</c:v>
                </c:pt>
                <c:pt idx="66">
                  <c:v>26500</c:v>
                </c:pt>
                <c:pt idx="67">
                  <c:v>3500</c:v>
                </c:pt>
                <c:pt idx="68">
                  <c:v>17000</c:v>
                </c:pt>
                <c:pt idx="69">
                  <c:v>100000</c:v>
                </c:pt>
                <c:pt idx="70" formatCode="General">
                  <c:v>105</c:v>
                </c:pt>
                <c:pt idx="71">
                  <c:v>12000</c:v>
                </c:pt>
                <c:pt idx="72">
                  <c:v>1332</c:v>
                </c:pt>
                <c:pt idx="73">
                  <c:v>1021</c:v>
                </c:pt>
                <c:pt idx="74">
                  <c:v>19500</c:v>
                </c:pt>
                <c:pt idx="75" formatCode="General">
                  <c:v>235</c:v>
                </c:pt>
                <c:pt idx="76">
                  <c:v>87000</c:v>
                </c:pt>
                <c:pt idx="77">
                  <c:v>315000</c:v>
                </c:pt>
                <c:pt idx="78">
                  <c:v>175000</c:v>
                </c:pt>
                <c:pt idx="79">
                  <c:v>81150</c:v>
                </c:pt>
                <c:pt idx="80">
                  <c:v>119700</c:v>
                </c:pt>
                <c:pt idx="81">
                  <c:v>119700</c:v>
                </c:pt>
                <c:pt idx="82">
                  <c:v>20200</c:v>
                </c:pt>
                <c:pt idx="83" formatCode="General">
                  <c:v>21</c:v>
                </c:pt>
                <c:pt idx="84">
                  <c:v>10650</c:v>
                </c:pt>
                <c:pt idx="85">
                  <c:v>101250</c:v>
                </c:pt>
                <c:pt idx="86">
                  <c:v>101250</c:v>
                </c:pt>
                <c:pt idx="87">
                  <c:v>1602330</c:v>
                </c:pt>
                <c:pt idx="88" formatCode="General">
                  <c:v>412.5</c:v>
                </c:pt>
                <c:pt idx="89">
                  <c:v>776</c:v>
                </c:pt>
                <c:pt idx="90">
                  <c:v>700000</c:v>
                </c:pt>
                <c:pt idx="91">
                  <c:v>4500</c:v>
                </c:pt>
                <c:pt idx="92">
                  <c:v>1500</c:v>
                </c:pt>
                <c:pt idx="93">
                  <c:v>413</c:v>
                </c:pt>
                <c:pt idx="94">
                  <c:v>277500</c:v>
                </c:pt>
                <c:pt idx="95">
                  <c:v>475000</c:v>
                </c:pt>
                <c:pt idx="96">
                  <c:v>103750</c:v>
                </c:pt>
                <c:pt idx="97">
                  <c:v>5200</c:v>
                </c:pt>
                <c:pt idx="98">
                  <c:v>4132</c:v>
                </c:pt>
              </c:numCache>
            </c:numRef>
          </c:xVal>
          <c:yVal>
            <c:numRef>
              <c:f>'New &amp; Old World Primate Graphs'!$D$2:$D$366</c:f>
              <c:numCache>
                <c:formatCode>General</c:formatCode>
                <c:ptCount val="365"/>
                <c:pt idx="0">
                  <c:v>51.7</c:v>
                </c:pt>
                <c:pt idx="1">
                  <c:v>197.69300000000001</c:v>
                </c:pt>
                <c:pt idx="2">
                  <c:v>1501</c:v>
                </c:pt>
                <c:pt idx="6">
                  <c:v>20</c:v>
                </c:pt>
                <c:pt idx="7">
                  <c:v>35.5</c:v>
                </c:pt>
                <c:pt idx="11">
                  <c:v>51.505000000000003</c:v>
                </c:pt>
                <c:pt idx="12">
                  <c:v>420</c:v>
                </c:pt>
                <c:pt idx="16">
                  <c:v>25.683</c:v>
                </c:pt>
                <c:pt idx="17">
                  <c:v>3.2</c:v>
                </c:pt>
                <c:pt idx="18">
                  <c:v>63.3</c:v>
                </c:pt>
                <c:pt idx="21">
                  <c:v>21</c:v>
                </c:pt>
                <c:pt idx="26">
                  <c:v>7860</c:v>
                </c:pt>
                <c:pt idx="27">
                  <c:v>4375</c:v>
                </c:pt>
                <c:pt idx="28">
                  <c:v>618.5</c:v>
                </c:pt>
                <c:pt idx="31">
                  <c:v>114.66</c:v>
                </c:pt>
                <c:pt idx="34">
                  <c:v>503.9</c:v>
                </c:pt>
                <c:pt idx="35">
                  <c:v>312.55</c:v>
                </c:pt>
                <c:pt idx="38">
                  <c:v>60.92</c:v>
                </c:pt>
                <c:pt idx="39">
                  <c:v>349.23</c:v>
                </c:pt>
                <c:pt idx="40">
                  <c:v>4.0999999999999996</c:v>
                </c:pt>
                <c:pt idx="47">
                  <c:v>6.3</c:v>
                </c:pt>
                <c:pt idx="51">
                  <c:v>30</c:v>
                </c:pt>
                <c:pt idx="52">
                  <c:v>43.75</c:v>
                </c:pt>
                <c:pt idx="53">
                  <c:v>49.643599999999999</c:v>
                </c:pt>
                <c:pt idx="57">
                  <c:v>213.6</c:v>
                </c:pt>
                <c:pt idx="61">
                  <c:v>23.725000000000001</c:v>
                </c:pt>
                <c:pt idx="62">
                  <c:v>1054</c:v>
                </c:pt>
                <c:pt idx="69">
                  <c:v>48.7</c:v>
                </c:pt>
                <c:pt idx="71">
                  <c:v>47.548299999999998</c:v>
                </c:pt>
                <c:pt idx="72">
                  <c:v>58.4</c:v>
                </c:pt>
                <c:pt idx="73">
                  <c:v>170.1</c:v>
                </c:pt>
                <c:pt idx="74">
                  <c:v>248.8</c:v>
                </c:pt>
                <c:pt idx="75">
                  <c:v>138.59800000000001</c:v>
                </c:pt>
                <c:pt idx="77">
                  <c:v>64.122</c:v>
                </c:pt>
                <c:pt idx="78">
                  <c:v>15.4489</c:v>
                </c:pt>
                <c:pt idx="79">
                  <c:v>307.8</c:v>
                </c:pt>
                <c:pt idx="87">
                  <c:v>9.66</c:v>
                </c:pt>
                <c:pt idx="88">
                  <c:v>263.02999999999997</c:v>
                </c:pt>
                <c:pt idx="89">
                  <c:v>110.2</c:v>
                </c:pt>
                <c:pt idx="91">
                  <c:v>2625</c:v>
                </c:pt>
                <c:pt idx="92">
                  <c:v>642.1</c:v>
                </c:pt>
                <c:pt idx="94">
                  <c:v>19.042999999999999</c:v>
                </c:pt>
                <c:pt idx="96">
                  <c:v>80.7</c:v>
                </c:pt>
              </c:numCache>
            </c:numRef>
          </c:yVal>
          <c:smooth val="0"/>
          <c:extLst>
            <c:ext xmlns:c16="http://schemas.microsoft.com/office/drawing/2014/chart" uri="{C3380CC4-5D6E-409C-BE32-E72D297353CC}">
              <c16:uniqueId val="{00000000-2A53-B245-8031-DDEDD8B8D0B7}"/>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'New &amp; Old World Primate Graphs'!$C$5:$C$23</c:f>
              <c:numCache>
                <c:formatCode>#,##0</c:formatCode>
                <c:ptCount val="19"/>
                <c:pt idx="0">
                  <c:v>139842</c:v>
                </c:pt>
                <c:pt idx="1">
                  <c:v>139842</c:v>
                </c:pt>
                <c:pt idx="2">
                  <c:v>139842</c:v>
                </c:pt>
                <c:pt idx="3">
                  <c:v>139842</c:v>
                </c:pt>
                <c:pt idx="4">
                  <c:v>5735</c:v>
                </c:pt>
                <c:pt idx="5">
                  <c:v>5735</c:v>
                </c:pt>
                <c:pt idx="6">
                  <c:v>5735</c:v>
                </c:pt>
                <c:pt idx="7">
                  <c:v>5735</c:v>
                </c:pt>
                <c:pt idx="8" formatCode="General">
                  <c:v>11950</c:v>
                </c:pt>
                <c:pt idx="9" formatCode="General">
                  <c:v>64.8</c:v>
                </c:pt>
                <c:pt idx="10" formatCode="General">
                  <c:v>64.8</c:v>
                </c:pt>
                <c:pt idx="11" formatCode="General">
                  <c:v>64.8</c:v>
                </c:pt>
                <c:pt idx="12" formatCode="General">
                  <c:v>64.8</c:v>
                </c:pt>
                <c:pt idx="13">
                  <c:v>1300</c:v>
                </c:pt>
                <c:pt idx="14">
                  <c:v>45000</c:v>
                </c:pt>
                <c:pt idx="15">
                  <c:v>18000</c:v>
                </c:pt>
                <c:pt idx="16">
                  <c:v>5000</c:v>
                </c:pt>
                <c:pt idx="17">
                  <c:v>5000</c:v>
                </c:pt>
                <c:pt idx="18">
                  <c:v>5000</c:v>
                </c:pt>
              </c:numCache>
            </c:numRef>
          </c:xVal>
          <c:yVal>
            <c:numRef>
              <c:f>'New &amp; Old World Primate Graphs'!$D$5:$D$23</c:f>
              <c:numCache>
                <c:formatCode>General</c:formatCode>
                <c:ptCount val="19"/>
                <c:pt idx="3">
                  <c:v>20</c:v>
                </c:pt>
                <c:pt idx="4">
                  <c:v>35.5</c:v>
                </c:pt>
                <c:pt idx="8">
                  <c:v>51.505000000000003</c:v>
                </c:pt>
                <c:pt idx="9">
                  <c:v>420</c:v>
                </c:pt>
                <c:pt idx="13">
                  <c:v>25.683</c:v>
                </c:pt>
                <c:pt idx="14">
                  <c:v>3.2</c:v>
                </c:pt>
                <c:pt idx="15">
                  <c:v>63.3</c:v>
                </c:pt>
                <c:pt idx="18">
                  <c:v>21</c:v>
                </c:pt>
              </c:numCache>
            </c:numRef>
          </c:yVal>
          <c:smooth val="0"/>
          <c:extLst>
            <c:ext xmlns:c16="http://schemas.microsoft.com/office/drawing/2014/chart" uri="{C3380CC4-5D6E-409C-BE32-E72D297353CC}">
              <c16:uniqueId val="{00000002-2A53-B245-8031-DDEDD8B8D0B7}"/>
            </c:ext>
          </c:extLst>
        </c:ser>
        <c:ser>
          <c:idx val="2"/>
          <c:order val="2"/>
          <c:spPr>
            <a:ln w="25400" cap="rnd">
              <a:noFill/>
              <a:round/>
            </a:ln>
            <a:effectLst/>
          </c:spPr>
          <c:marker>
            <c:symbol val="circle"/>
            <c:size val="5"/>
            <c:spPr>
              <a:solidFill>
                <a:schemeClr val="accent3"/>
              </a:solidFill>
              <a:ln w="9525">
                <a:solidFill>
                  <a:schemeClr val="accent3"/>
                </a:solidFill>
              </a:ln>
              <a:effectLst/>
            </c:spPr>
          </c:marker>
          <c:xVal>
            <c:numRef>
              <c:f>'New &amp; Old World Primate Graphs'!$C$24:$C$29</c:f>
              <c:numCache>
                <c:formatCode>#,##0</c:formatCode>
                <c:ptCount val="6"/>
                <c:pt idx="0">
                  <c:v>7000</c:v>
                </c:pt>
                <c:pt idx="1">
                  <c:v>2643</c:v>
                </c:pt>
                <c:pt idx="2">
                  <c:v>2643</c:v>
                </c:pt>
                <c:pt idx="3">
                  <c:v>2643</c:v>
                </c:pt>
                <c:pt idx="4">
                  <c:v>2643</c:v>
                </c:pt>
                <c:pt idx="5" formatCode="General">
                  <c:v>2800</c:v>
                </c:pt>
              </c:numCache>
            </c:numRef>
          </c:xVal>
          <c:yVal>
            <c:numRef>
              <c:f>'New &amp; Old World Primate Graphs'!$D$24:$D$29</c:f>
              <c:numCache>
                <c:formatCode>General</c:formatCode>
                <c:ptCount val="6"/>
                <c:pt idx="4">
                  <c:v>7860</c:v>
                </c:pt>
                <c:pt idx="5">
                  <c:v>4375</c:v>
                </c:pt>
              </c:numCache>
            </c:numRef>
          </c:yVal>
          <c:smooth val="0"/>
          <c:extLst>
            <c:ext xmlns:c16="http://schemas.microsoft.com/office/drawing/2014/chart" uri="{C3380CC4-5D6E-409C-BE32-E72D297353CC}">
              <c16:uniqueId val="{00000003-2A53-B245-8031-DDEDD8B8D0B7}"/>
            </c:ext>
          </c:extLst>
        </c:ser>
        <c:dLbls>
          <c:showLegendKey val="0"/>
          <c:showVal val="0"/>
          <c:showCatName val="0"/>
          <c:showSerName val="0"/>
          <c:showPercent val="0"/>
          <c:showBubbleSize val="0"/>
        </c:dLbls>
        <c:axId val="1211460560"/>
        <c:axId val="1254615376"/>
      </c:scatterChart>
      <c:valAx>
        <c:axId val="1211460560"/>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615376"/>
        <c:crosses val="autoZero"/>
        <c:crossBetween val="midCat"/>
      </c:valAx>
      <c:valAx>
        <c:axId val="1254615376"/>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4605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Basal Corticosterone vs.</a:t>
            </a:r>
            <a:r>
              <a:rPr lang="en-US" baseline="0"/>
              <a:t> Body Mass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'New &amp; Old World Primate Graphs'!$E$1</c:f>
              <c:strCache>
                <c:ptCount val="1"/>
                <c:pt idx="0">
                  <c:v>Basal Corticosterone (ng/g)</c:v>
                </c:pt>
              </c:strCache>
            </c:strRef>
          </c:tx>
          <c:spPr>
            <a:ln w="19050" cap="rnd">
              <a:noFill/>
              <a:round/>
            </a:ln>
            <a:effectLst/>
          </c:spPr>
          <c:marker>
            <c:symbol val="circle"/>
            <c:size val="5"/>
            <c:spPr>
              <a:solidFill>
                <a:schemeClr val="accent1"/>
              </a:solidFill>
              <a:ln w="9525">
                <a:solidFill>
                  <a:schemeClr val="accent1"/>
                </a:solidFill>
              </a:ln>
              <a:effectLst/>
            </c:spPr>
          </c:marker>
          <c:xVal>
            <c:numRef>
              <c:f>'New &amp; Old World Primate Graphs'!$C$2:$C$365</c:f>
              <c:numCache>
                <c:formatCode>#,##0</c:formatCode>
                <c:ptCount val="364"/>
                <c:pt idx="0">
                  <c:v>23000000</c:v>
                </c:pt>
                <c:pt idx="1">
                  <c:v>415000</c:v>
                </c:pt>
                <c:pt idx="2">
                  <c:v>200000</c:v>
                </c:pt>
                <c:pt idx="3">
                  <c:v>139842</c:v>
                </c:pt>
                <c:pt idx="4">
                  <c:v>139842</c:v>
                </c:pt>
                <c:pt idx="5">
                  <c:v>139842</c:v>
                </c:pt>
                <c:pt idx="6">
                  <c:v>139842</c:v>
                </c:pt>
                <c:pt idx="7">
                  <c:v>5735</c:v>
                </c:pt>
                <c:pt idx="8">
                  <c:v>5735</c:v>
                </c:pt>
                <c:pt idx="9">
                  <c:v>5735</c:v>
                </c:pt>
                <c:pt idx="10">
                  <c:v>5735</c:v>
                </c:pt>
                <c:pt idx="11" formatCode="General">
                  <c:v>11950</c:v>
                </c:pt>
                <c:pt idx="12" formatCode="General">
                  <c:v>64.8</c:v>
                </c:pt>
                <c:pt idx="13" formatCode="General">
                  <c:v>64.8</c:v>
                </c:pt>
                <c:pt idx="14" formatCode="General">
                  <c:v>64.8</c:v>
                </c:pt>
                <c:pt idx="15" formatCode="General">
                  <c:v>64.8</c:v>
                </c:pt>
                <c:pt idx="16">
                  <c:v>1300</c:v>
                </c:pt>
                <c:pt idx="17">
                  <c:v>45000</c:v>
                </c:pt>
                <c:pt idx="18">
                  <c:v>18000</c:v>
                </c:pt>
                <c:pt idx="19">
                  <c:v>5000</c:v>
                </c:pt>
                <c:pt idx="20">
                  <c:v>5000</c:v>
                </c:pt>
                <c:pt idx="21">
                  <c:v>5000</c:v>
                </c:pt>
                <c:pt idx="22">
                  <c:v>7000</c:v>
                </c:pt>
                <c:pt idx="23">
                  <c:v>2643</c:v>
                </c:pt>
                <c:pt idx="24">
                  <c:v>2643</c:v>
                </c:pt>
                <c:pt idx="25">
                  <c:v>2643</c:v>
                </c:pt>
                <c:pt idx="26">
                  <c:v>2643</c:v>
                </c:pt>
                <c:pt idx="27" formatCode="General">
                  <c:v>2800</c:v>
                </c:pt>
                <c:pt idx="28" formatCode="#,##0.00">
                  <c:v>38446.1</c:v>
                </c:pt>
                <c:pt idx="29">
                  <c:v>45.2</c:v>
                </c:pt>
                <c:pt idx="30">
                  <c:v>45.2</c:v>
                </c:pt>
                <c:pt idx="31">
                  <c:v>117500</c:v>
                </c:pt>
                <c:pt idx="32">
                  <c:v>102500</c:v>
                </c:pt>
                <c:pt idx="33">
                  <c:v>750000</c:v>
                </c:pt>
                <c:pt idx="34">
                  <c:v>434000</c:v>
                </c:pt>
                <c:pt idx="35" formatCode="General">
                  <c:v>22983.200000000001</c:v>
                </c:pt>
                <c:pt idx="36">
                  <c:v>61000</c:v>
                </c:pt>
                <c:pt idx="37">
                  <c:v>61000</c:v>
                </c:pt>
                <c:pt idx="38">
                  <c:v>21667</c:v>
                </c:pt>
                <c:pt idx="39" formatCode="General">
                  <c:v>728</c:v>
                </c:pt>
                <c:pt idx="40">
                  <c:v>2175000</c:v>
                </c:pt>
                <c:pt idx="41">
                  <c:v>6500</c:v>
                </c:pt>
                <c:pt idx="42">
                  <c:v>200000</c:v>
                </c:pt>
                <c:pt idx="43">
                  <c:v>215000</c:v>
                </c:pt>
                <c:pt idx="44">
                  <c:v>215000</c:v>
                </c:pt>
                <c:pt idx="45">
                  <c:v>215000</c:v>
                </c:pt>
                <c:pt idx="46">
                  <c:v>215000</c:v>
                </c:pt>
                <c:pt idx="47">
                  <c:v>215000</c:v>
                </c:pt>
                <c:pt idx="48">
                  <c:v>164500</c:v>
                </c:pt>
                <c:pt idx="49">
                  <c:v>164500</c:v>
                </c:pt>
                <c:pt idx="50">
                  <c:v>164500</c:v>
                </c:pt>
                <c:pt idx="51">
                  <c:v>164500</c:v>
                </c:pt>
                <c:pt idx="52">
                  <c:v>63000</c:v>
                </c:pt>
                <c:pt idx="53">
                  <c:v>3178000</c:v>
                </c:pt>
                <c:pt idx="54">
                  <c:v>3178000</c:v>
                </c:pt>
                <c:pt idx="55">
                  <c:v>444900</c:v>
                </c:pt>
                <c:pt idx="56">
                  <c:v>384000</c:v>
                </c:pt>
                <c:pt idx="57">
                  <c:v>3900</c:v>
                </c:pt>
                <c:pt idx="58">
                  <c:v>20.87</c:v>
                </c:pt>
                <c:pt idx="59">
                  <c:v>30</c:v>
                </c:pt>
                <c:pt idx="60">
                  <c:v>37</c:v>
                </c:pt>
                <c:pt idx="61">
                  <c:v>800000</c:v>
                </c:pt>
                <c:pt idx="62">
                  <c:v>1600</c:v>
                </c:pt>
                <c:pt idx="63">
                  <c:v>4175</c:v>
                </c:pt>
                <c:pt idx="64">
                  <c:v>4175</c:v>
                </c:pt>
                <c:pt idx="65" formatCode="General">
                  <c:v>3940034</c:v>
                </c:pt>
                <c:pt idx="66">
                  <c:v>26500</c:v>
                </c:pt>
                <c:pt idx="67">
                  <c:v>3500</c:v>
                </c:pt>
                <c:pt idx="68">
                  <c:v>17000</c:v>
                </c:pt>
                <c:pt idx="69">
                  <c:v>100000</c:v>
                </c:pt>
                <c:pt idx="70" formatCode="General">
                  <c:v>105</c:v>
                </c:pt>
                <c:pt idx="71">
                  <c:v>12000</c:v>
                </c:pt>
                <c:pt idx="72">
                  <c:v>1332</c:v>
                </c:pt>
                <c:pt idx="73">
                  <c:v>1021</c:v>
                </c:pt>
                <c:pt idx="74">
                  <c:v>19500</c:v>
                </c:pt>
                <c:pt idx="75" formatCode="General">
                  <c:v>235</c:v>
                </c:pt>
                <c:pt idx="76">
                  <c:v>87000</c:v>
                </c:pt>
                <c:pt idx="77">
                  <c:v>315000</c:v>
                </c:pt>
                <c:pt idx="78">
                  <c:v>175000</c:v>
                </c:pt>
                <c:pt idx="79">
                  <c:v>81150</c:v>
                </c:pt>
                <c:pt idx="80">
                  <c:v>119700</c:v>
                </c:pt>
                <c:pt idx="81">
                  <c:v>119700</c:v>
                </c:pt>
                <c:pt idx="82">
                  <c:v>20200</c:v>
                </c:pt>
                <c:pt idx="83" formatCode="General">
                  <c:v>21</c:v>
                </c:pt>
                <c:pt idx="84">
                  <c:v>10650</c:v>
                </c:pt>
                <c:pt idx="85">
                  <c:v>101250</c:v>
                </c:pt>
                <c:pt idx="86">
                  <c:v>101250</c:v>
                </c:pt>
                <c:pt idx="87">
                  <c:v>1602330</c:v>
                </c:pt>
                <c:pt idx="88" formatCode="General">
                  <c:v>412.5</c:v>
                </c:pt>
                <c:pt idx="89">
                  <c:v>776</c:v>
                </c:pt>
                <c:pt idx="90">
                  <c:v>700000</c:v>
                </c:pt>
                <c:pt idx="91">
                  <c:v>4500</c:v>
                </c:pt>
                <c:pt idx="92">
                  <c:v>1500</c:v>
                </c:pt>
                <c:pt idx="93">
                  <c:v>413</c:v>
                </c:pt>
                <c:pt idx="94">
                  <c:v>277500</c:v>
                </c:pt>
                <c:pt idx="95">
                  <c:v>475000</c:v>
                </c:pt>
                <c:pt idx="96">
                  <c:v>103750</c:v>
                </c:pt>
                <c:pt idx="97">
                  <c:v>5200</c:v>
                </c:pt>
                <c:pt idx="98">
                  <c:v>4132</c:v>
                </c:pt>
              </c:numCache>
            </c:numRef>
          </c:xVal>
          <c:yVal>
            <c:numRef>
              <c:f>'New &amp; Old World Primate Graphs'!$E$2:$E$365</c:f>
              <c:numCache>
                <c:formatCode>General</c:formatCode>
                <c:ptCount val="364"/>
                <c:pt idx="5">
                  <c:v>60</c:v>
                </c:pt>
                <c:pt idx="10">
                  <c:v>25</c:v>
                </c:pt>
                <c:pt idx="15">
                  <c:v>90</c:v>
                </c:pt>
                <c:pt idx="25">
                  <c:v>1240</c:v>
                </c:pt>
                <c:pt idx="28">
                  <c:v>232.9</c:v>
                </c:pt>
                <c:pt idx="35">
                  <c:v>215.8</c:v>
                </c:pt>
                <c:pt idx="40">
                  <c:v>8.6</c:v>
                </c:pt>
                <c:pt idx="47">
                  <c:v>102.75</c:v>
                </c:pt>
                <c:pt idx="51">
                  <c:v>640</c:v>
                </c:pt>
                <c:pt idx="56">
                  <c:v>16.2</c:v>
                </c:pt>
                <c:pt idx="57">
                  <c:v>354.7</c:v>
                </c:pt>
                <c:pt idx="58">
                  <c:v>1743.1</c:v>
                </c:pt>
                <c:pt idx="59">
                  <c:v>2842.33</c:v>
                </c:pt>
                <c:pt idx="60">
                  <c:v>1711.28</c:v>
                </c:pt>
                <c:pt idx="61">
                  <c:v>64.758300000000006</c:v>
                </c:pt>
                <c:pt idx="67">
                  <c:v>132</c:v>
                </c:pt>
                <c:pt idx="69">
                  <c:v>64.099999999999994</c:v>
                </c:pt>
                <c:pt idx="72">
                  <c:v>1030</c:v>
                </c:pt>
                <c:pt idx="73">
                  <c:v>101.9</c:v>
                </c:pt>
                <c:pt idx="74">
                  <c:v>302.2</c:v>
                </c:pt>
                <c:pt idx="77">
                  <c:v>104.312</c:v>
                </c:pt>
                <c:pt idx="83">
                  <c:v>1436.55</c:v>
                </c:pt>
                <c:pt idx="89">
                  <c:v>175</c:v>
                </c:pt>
                <c:pt idx="96">
                  <c:v>45.1</c:v>
                </c:pt>
              </c:numCache>
            </c:numRef>
          </c:yVal>
          <c:smooth val="0"/>
          <c:extLst>
            <c:ext xmlns:c16="http://schemas.microsoft.com/office/drawing/2014/chart" uri="{C3380CC4-5D6E-409C-BE32-E72D297353CC}">
              <c16:uniqueId val="{00000000-F0FC-7E49-956F-42378734404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'New &amp; Old World Primate Graphs'!$C$5:$C$23</c:f>
              <c:numCache>
                <c:formatCode>#,##0</c:formatCode>
                <c:ptCount val="19"/>
                <c:pt idx="0">
                  <c:v>139842</c:v>
                </c:pt>
                <c:pt idx="1">
                  <c:v>139842</c:v>
                </c:pt>
                <c:pt idx="2">
                  <c:v>139842</c:v>
                </c:pt>
                <c:pt idx="3">
                  <c:v>139842</c:v>
                </c:pt>
                <c:pt idx="4">
                  <c:v>5735</c:v>
                </c:pt>
                <c:pt idx="5">
                  <c:v>5735</c:v>
                </c:pt>
                <c:pt idx="6">
                  <c:v>5735</c:v>
                </c:pt>
                <c:pt idx="7">
                  <c:v>5735</c:v>
                </c:pt>
                <c:pt idx="8" formatCode="General">
                  <c:v>11950</c:v>
                </c:pt>
                <c:pt idx="9" formatCode="General">
                  <c:v>64.8</c:v>
                </c:pt>
                <c:pt idx="10" formatCode="General">
                  <c:v>64.8</c:v>
                </c:pt>
                <c:pt idx="11" formatCode="General">
                  <c:v>64.8</c:v>
                </c:pt>
                <c:pt idx="12" formatCode="General">
                  <c:v>64.8</c:v>
                </c:pt>
                <c:pt idx="13">
                  <c:v>1300</c:v>
                </c:pt>
                <c:pt idx="14">
                  <c:v>45000</c:v>
                </c:pt>
                <c:pt idx="15">
                  <c:v>18000</c:v>
                </c:pt>
                <c:pt idx="16">
                  <c:v>5000</c:v>
                </c:pt>
                <c:pt idx="17">
                  <c:v>5000</c:v>
                </c:pt>
                <c:pt idx="18">
                  <c:v>5000</c:v>
                </c:pt>
              </c:numCache>
            </c:numRef>
          </c:xVal>
          <c:yVal>
            <c:numRef>
              <c:f>'New &amp; Old World Primate Graphs'!$E$5:$E$23</c:f>
              <c:numCache>
                <c:formatCode>General</c:formatCode>
                <c:ptCount val="19"/>
                <c:pt idx="2">
                  <c:v>60</c:v>
                </c:pt>
                <c:pt idx="7">
                  <c:v>25</c:v>
                </c:pt>
                <c:pt idx="12">
                  <c:v>90</c:v>
                </c:pt>
              </c:numCache>
            </c:numRef>
          </c:yVal>
          <c:smooth val="0"/>
          <c:extLst>
            <c:ext xmlns:c16="http://schemas.microsoft.com/office/drawing/2014/chart" uri="{C3380CC4-5D6E-409C-BE32-E72D297353CC}">
              <c16:uniqueId val="{00000002-F0FC-7E49-956F-423787344041}"/>
            </c:ext>
          </c:extLst>
        </c:ser>
        <c:ser>
          <c:idx val="2"/>
          <c:order val="2"/>
          <c:spPr>
            <a:ln w="25400" cap="rnd">
              <a:noFill/>
              <a:round/>
            </a:ln>
            <a:effectLst/>
          </c:spPr>
          <c:marker>
            <c:symbol val="circle"/>
            <c:size val="5"/>
            <c:spPr>
              <a:solidFill>
                <a:schemeClr val="accent3"/>
              </a:solidFill>
              <a:ln w="9525">
                <a:solidFill>
                  <a:schemeClr val="accent3"/>
                </a:solidFill>
              </a:ln>
              <a:effectLst/>
            </c:spPr>
          </c:marker>
          <c:dPt>
            <c:idx val="3"/>
            <c:marker>
              <c:symbol val="circle"/>
              <c:size val="5"/>
              <c:spPr>
                <a:solidFill>
                  <a:srgbClr val="00B050"/>
                </a:solidFill>
                <a:ln w="9525">
                  <a:solidFill>
                    <a:srgbClr val="92D050"/>
                  </a:solidFill>
                </a:ln>
                <a:effectLst/>
              </c:spPr>
            </c:marker>
            <c:bubble3D val="0"/>
            <c:extLst>
              <c:ext xmlns:c16="http://schemas.microsoft.com/office/drawing/2014/chart" uri="{C3380CC4-5D6E-409C-BE32-E72D297353CC}">
                <c16:uniqueId val="{00000004-F0FC-7E49-956F-423787344041}"/>
              </c:ext>
            </c:extLst>
          </c:dPt>
          <c:xVal>
            <c:numRef>
              <c:f>'New &amp; Old World Primate Graphs'!$C$24:$C$29</c:f>
              <c:numCache>
                <c:formatCode>#,##0</c:formatCode>
                <c:ptCount val="6"/>
                <c:pt idx="0">
                  <c:v>7000</c:v>
                </c:pt>
                <c:pt idx="1">
                  <c:v>2643</c:v>
                </c:pt>
                <c:pt idx="2">
                  <c:v>2643</c:v>
                </c:pt>
                <c:pt idx="3">
                  <c:v>2643</c:v>
                </c:pt>
                <c:pt idx="4">
                  <c:v>2643</c:v>
                </c:pt>
                <c:pt idx="5" formatCode="General">
                  <c:v>2800</c:v>
                </c:pt>
              </c:numCache>
            </c:numRef>
          </c:xVal>
          <c:yVal>
            <c:numRef>
              <c:f>'New &amp; Old World Primate Graphs'!$E$24:$E$29</c:f>
              <c:numCache>
                <c:formatCode>General</c:formatCode>
                <c:ptCount val="6"/>
                <c:pt idx="3">
                  <c:v>1240</c:v>
                </c:pt>
              </c:numCache>
            </c:numRef>
          </c:yVal>
          <c:smooth val="0"/>
          <c:extLst>
            <c:ext xmlns:c16="http://schemas.microsoft.com/office/drawing/2014/chart" uri="{C3380CC4-5D6E-409C-BE32-E72D297353CC}">
              <c16:uniqueId val="{00000003-F0FC-7E49-956F-423787344041}"/>
            </c:ext>
          </c:extLst>
        </c:ser>
        <c:dLbls>
          <c:showLegendKey val="0"/>
          <c:showVal val="0"/>
          <c:showCatName val="0"/>
          <c:showSerName val="0"/>
          <c:showPercent val="0"/>
          <c:showBubbleSize val="0"/>
        </c:dLbls>
        <c:axId val="1258191392"/>
        <c:axId val="1258245136"/>
      </c:scatterChart>
      <c:valAx>
        <c:axId val="1258191392"/>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245136"/>
        <c:crosses val="autoZero"/>
        <c:crossBetween val="midCat"/>
      </c:valAx>
      <c:valAx>
        <c:axId val="1258245136"/>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1913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400" baseline="0">
                <a:solidFill>
                  <a:schemeClr val="tx1"/>
                </a:solidFill>
              </a:rPr>
              <a:t>Stress Hormone vs. Body Mass</a:t>
            </a:r>
            <a:endParaRPr lang="en-US" sz="4400">
              <a:solidFill>
                <a:schemeClr val="tx1"/>
              </a:solidFill>
            </a:endParaRPr>
          </a:p>
        </c:rich>
      </c:tx>
      <c:layout>
        <c:manualLayout>
          <c:xMode val="edge"/>
          <c:yMode val="edge"/>
          <c:x val="0.24152936105458842"/>
          <c:y val="4.18093791097794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152339819744046"/>
          <c:y val="0.21019337519175574"/>
          <c:w val="0.75999948479786261"/>
          <c:h val="0.6531297407158192"/>
        </c:manualLayout>
      </c:layout>
      <c:scatterChart>
        <c:scatterStyle val="lineMarker"/>
        <c:varyColors val="0"/>
        <c:ser>
          <c:idx val="0"/>
          <c:order val="0"/>
          <c:tx>
            <c:v>Cortisol</c:v>
          </c:tx>
          <c:spPr>
            <a:ln w="19050" cap="rnd">
              <a:noFill/>
              <a:round/>
            </a:ln>
            <a:effectLst/>
          </c:spPr>
          <c:marker>
            <c:symbol val="circle"/>
            <c:size val="14"/>
            <c:spPr>
              <a:solidFill>
                <a:srgbClr val="002060"/>
              </a:solidFill>
              <a:ln w="19050">
                <a:solidFill>
                  <a:srgbClr val="002060"/>
                </a:solidFill>
              </a:ln>
              <a:effectLst/>
            </c:spPr>
          </c:marker>
          <c:trendline>
            <c:spPr>
              <a:ln w="76200" cap="rnd" cmpd="sng">
                <a:solidFill>
                  <a:srgbClr val="002060"/>
                </a:solidFill>
                <a:prstDash val="solid"/>
              </a:ln>
              <a:effectLst/>
            </c:spPr>
            <c:trendlineType val="linear"/>
            <c:dispRSqr val="1"/>
            <c:dispEq val="1"/>
            <c:trendlineLbl>
              <c:layout>
                <c:manualLayout>
                  <c:x val="-0.4102634429236236"/>
                  <c:y val="2.404986841986656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3600" baseline="0">
                        <a:solidFill>
                          <a:schemeClr val="tx1"/>
                        </a:solidFill>
                      </a:rPr>
                      <a:t>y = -0.34x + 3.3</a:t>
                    </a:r>
                    <a:br>
                      <a:rPr lang="en-US" sz="3600" baseline="0">
                        <a:solidFill>
                          <a:schemeClr val="tx1"/>
                        </a:solidFill>
                      </a:rPr>
                    </a:br>
                    <a:r>
                      <a:rPr lang="en-US" sz="3600" baseline="0">
                        <a:solidFill>
                          <a:schemeClr val="tx1"/>
                        </a:solidFill>
                      </a:rPr>
                      <a:t>R² = 0.25</a:t>
                    </a:r>
                    <a:endParaRPr lang="en-US" sz="3600">
                      <a:solidFill>
                        <a:schemeClr val="tx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'Poster Graphs'!$G$2:$G$102</c:f>
              <c:numCache>
                <c:formatCode>General</c:formatCode>
                <c:ptCount val="101"/>
                <c:pt idx="0">
                  <c:v>3.8450980400142569</c:v>
                </c:pt>
                <c:pt idx="1">
                  <c:v>5.8750612633917001</c:v>
                </c:pt>
                <c:pt idx="2">
                  <c:v>5.8750612633917001</c:v>
                </c:pt>
                <c:pt idx="3">
                  <c:v>4.7853298350107671</c:v>
                </c:pt>
                <c:pt idx="4">
                  <c:v>3.2041199826559246</c:v>
                </c:pt>
                <c:pt idx="5">
                  <c:v>5.2161659022859928</c:v>
                </c:pt>
                <c:pt idx="6">
                  <c:v>5.3324384599156049</c:v>
                </c:pt>
                <c:pt idx="7">
                  <c:v>4.3357987833253659</c:v>
                </c:pt>
                <c:pt idx="8">
                  <c:v>2.8621313793130372</c:v>
                </c:pt>
                <c:pt idx="9">
                  <c:v>3.4220971631317103</c:v>
                </c:pt>
                <c:pt idx="10">
                  <c:v>3.7585334222372864</c:v>
                </c:pt>
                <c:pt idx="11">
                  <c:v>1.8115750058705933</c:v>
                </c:pt>
                <c:pt idx="12">
                  <c:v>4.7853298350107671</c:v>
                </c:pt>
                <c:pt idx="13">
                  <c:v>3.6206564798196208</c:v>
                </c:pt>
                <c:pt idx="14">
                  <c:v>2.0211892990699383</c:v>
                </c:pt>
                <c:pt idx="15">
                  <c:v>5.2161659022859928</c:v>
                </c:pt>
                <c:pt idx="16">
                  <c:v>3.8129133566428557</c:v>
                </c:pt>
                <c:pt idx="17">
                  <c:v>4.2304489213782741</c:v>
                </c:pt>
                <c:pt idx="18">
                  <c:v>5.0107238653917729</c:v>
                </c:pt>
                <c:pt idx="19">
                  <c:v>1.6551384348113822</c:v>
                </c:pt>
                <c:pt idx="20">
                  <c:v>3.6532125137753435</c:v>
                </c:pt>
                <c:pt idx="21">
                  <c:v>2.6159500516564012</c:v>
                </c:pt>
                <c:pt idx="23">
                  <c:v>5.3324384599156049</c:v>
                </c:pt>
                <c:pt idx="24">
                  <c:v>5.3324384599156049</c:v>
                </c:pt>
                <c:pt idx="25">
                  <c:v>3.4220971631317103</c:v>
                </c:pt>
                <c:pt idx="26">
                  <c:v>3.7585334222372864</c:v>
                </c:pt>
                <c:pt idx="27">
                  <c:v>3.6989700043360187</c:v>
                </c:pt>
                <c:pt idx="28">
                  <c:v>5.1456376265514301</c:v>
                </c:pt>
                <c:pt idx="29">
                  <c:v>1.8115750058705933</c:v>
                </c:pt>
                <c:pt idx="30">
                  <c:v>3.4220971631317103</c:v>
                </c:pt>
                <c:pt idx="31">
                  <c:v>3.7585334222372864</c:v>
                </c:pt>
                <c:pt idx="32">
                  <c:v>3.6989700043360187</c:v>
                </c:pt>
                <c:pt idx="33">
                  <c:v>5.1456376265514301</c:v>
                </c:pt>
                <c:pt idx="34">
                  <c:v>1.8115750058705933</c:v>
                </c:pt>
                <c:pt idx="35">
                  <c:v>3.6989700043360187</c:v>
                </c:pt>
                <c:pt idx="36">
                  <c:v>3.4220971631317103</c:v>
                </c:pt>
                <c:pt idx="37">
                  <c:v>3.7585334222372864</c:v>
                </c:pt>
                <c:pt idx="38">
                  <c:v>5.1456376265514301</c:v>
                </c:pt>
                <c:pt idx="39">
                  <c:v>1.8115750058705933</c:v>
                </c:pt>
                <c:pt idx="40">
                  <c:v>5.078094150406411</c:v>
                </c:pt>
                <c:pt idx="41">
                  <c:v>5.078094150406411</c:v>
                </c:pt>
                <c:pt idx="42">
                  <c:v>3.1760912590556813</c:v>
                </c:pt>
                <c:pt idx="43">
                  <c:v>4.0273496077747568</c:v>
                </c:pt>
                <c:pt idx="44">
                  <c:v>6.2047519639454238</c:v>
                </c:pt>
                <c:pt idx="45">
                  <c:v>4.3053513694466234</c:v>
                </c:pt>
                <c:pt idx="46">
                  <c:v>1.319522449065454</c:v>
                </c:pt>
                <c:pt idx="47">
                  <c:v>1.4771212547196624</c:v>
                </c:pt>
                <c:pt idx="48">
                  <c:v>1.568201724066995</c:v>
                </c:pt>
                <c:pt idx="49">
                  <c:v>1.3222192947339193</c:v>
                </c:pt>
                <c:pt idx="50">
                  <c:v>6.5021538928713607</c:v>
                </c:pt>
                <c:pt idx="51">
                  <c:v>6.5021538928713607</c:v>
                </c:pt>
                <c:pt idx="52">
                  <c:v>3.6206564798196208</c:v>
                </c:pt>
                <c:pt idx="53">
                  <c:v>3.716003343634799</c:v>
                </c:pt>
                <c:pt idx="54">
                  <c:v>5.2161659022859928</c:v>
                </c:pt>
                <c:pt idx="55">
                  <c:v>5.3324384599156049</c:v>
                </c:pt>
                <c:pt idx="56">
                  <c:v>3.6161603128475828</c:v>
                </c:pt>
                <c:pt idx="57">
                  <c:v>1.6551384348113822</c:v>
                </c:pt>
                <c:pt idx="58">
                  <c:v>2.6154239528859438</c:v>
                </c:pt>
                <c:pt idx="59">
                  <c:v>5.3010299956639813</c:v>
                </c:pt>
                <c:pt idx="60">
                  <c:v>4.0773679052841567</c:v>
                </c:pt>
                <c:pt idx="61">
                  <c:v>5.3010299956639813</c:v>
                </c:pt>
                <c:pt idx="62">
                  <c:v>4.9395192526186182</c:v>
                </c:pt>
                <c:pt idx="63">
                  <c:v>4.4232458739368079</c:v>
                </c:pt>
                <c:pt idx="64">
                  <c:v>4.2405492482825995</c:v>
                </c:pt>
                <c:pt idx="65">
                  <c:v>6.0413926851582254</c:v>
                </c:pt>
                <c:pt idx="66">
                  <c:v>3.1139433523068369</c:v>
                </c:pt>
                <c:pt idx="67">
                  <c:v>5.8450980400142569</c:v>
                </c:pt>
                <c:pt idx="68">
                  <c:v>4.9092885241622506</c:v>
                </c:pt>
                <c:pt idx="69">
                  <c:v>4.7993405494535821</c:v>
                </c:pt>
                <c:pt idx="70">
                  <c:v>6.5954999695282837</c:v>
                </c:pt>
                <c:pt idx="71">
                  <c:v>3.4471580313422194</c:v>
                </c:pt>
                <c:pt idx="72">
                  <c:v>5.3324384599156049</c:v>
                </c:pt>
                <c:pt idx="73">
                  <c:v>5.2161659022859928</c:v>
                </c:pt>
                <c:pt idx="74">
                  <c:v>5.1456376265514301</c:v>
                </c:pt>
                <c:pt idx="75">
                  <c:v>3.1245042248342823</c:v>
                </c:pt>
                <c:pt idx="76">
                  <c:v>5.9030899869919438</c:v>
                </c:pt>
                <c:pt idx="77">
                  <c:v>5.4983105537896009</c:v>
                </c:pt>
                <c:pt idx="78">
                  <c:v>4.584852291227592</c:v>
                </c:pt>
                <c:pt idx="79">
                  <c:v>3.5910646070264991</c:v>
                </c:pt>
                <c:pt idx="80">
                  <c:v>5</c:v>
                </c:pt>
                <c:pt idx="81">
                  <c:v>3.0090257420869104</c:v>
                </c:pt>
                <c:pt idx="82">
                  <c:v>4.2900346113625183</c:v>
                </c:pt>
                <c:pt idx="83">
                  <c:v>5.01598810538413</c:v>
                </c:pt>
                <c:pt idx="84">
                  <c:v>4.3614104963100209</c:v>
                </c:pt>
                <c:pt idx="85">
                  <c:v>2.8898617212581885</c:v>
                </c:pt>
                <c:pt idx="86">
                  <c:v>4.0791812460476251</c:v>
                </c:pt>
                <c:pt idx="87">
                  <c:v>5.0700378666077555</c:v>
                </c:pt>
                <c:pt idx="88">
                  <c:v>6.3374592612906557</c:v>
                </c:pt>
                <c:pt idx="89">
                  <c:v>4.2552725051033065</c:v>
                </c:pt>
                <c:pt idx="90">
                  <c:v>4.653212513775344</c:v>
                </c:pt>
                <c:pt idx="91">
                  <c:v>5.6482624057480448</c:v>
                </c:pt>
                <c:pt idx="92">
                  <c:v>5.5843312243675305</c:v>
                </c:pt>
                <c:pt idx="93">
                  <c:v>4.6627578316815743</c:v>
                </c:pt>
                <c:pt idx="94">
                  <c:v>4.6334684555795862</c:v>
                </c:pt>
                <c:pt idx="95">
                  <c:v>3.5440680443502757</c:v>
                </c:pt>
                <c:pt idx="96">
                  <c:v>2.3710678622717363</c:v>
                </c:pt>
                <c:pt idx="97">
                  <c:v>5.249198357391113</c:v>
                </c:pt>
                <c:pt idx="98">
                  <c:v>5.0053950318867058</c:v>
                </c:pt>
                <c:pt idx="99">
                  <c:v>5.0053950318867058</c:v>
                </c:pt>
                <c:pt idx="100">
                  <c:v>5.4432629874586951</c:v>
                </c:pt>
              </c:numCache>
            </c:numRef>
          </c:xVal>
          <c:yVal>
            <c:numRef>
              <c:f>'Poster Graphs'!$I$2:$I$102</c:f>
              <c:numCache>
                <c:formatCode>General</c:formatCode>
                <c:ptCount val="101"/>
                <c:pt idx="1">
                  <c:v>1.3138672203691535</c:v>
                </c:pt>
                <c:pt idx="4">
                  <c:v>3.022840610876528</c:v>
                </c:pt>
                <c:pt idx="7">
                  <c:v>1.7847598946640051</c:v>
                </c:pt>
                <c:pt idx="8">
                  <c:v>2.5431115439534384</c:v>
                </c:pt>
                <c:pt idx="9">
                  <c:v>3.8954225460394079</c:v>
                </c:pt>
                <c:pt idx="10">
                  <c:v>1.550228353055094</c:v>
                </c:pt>
                <c:pt idx="11">
                  <c:v>2.6232492903979003</c:v>
                </c:pt>
                <c:pt idx="20">
                  <c:v>3.4191293077419758</c:v>
                </c:pt>
                <c:pt idx="35">
                  <c:v>1.3222192947339193</c:v>
                </c:pt>
                <c:pt idx="42">
                  <c:v>2.8076026699164944</c:v>
                </c:pt>
                <c:pt idx="44">
                  <c:v>0.9849771264154934</c:v>
                </c:pt>
                <c:pt idx="50">
                  <c:v>1.6958632676583771</c:v>
                </c:pt>
                <c:pt idx="58">
                  <c:v>2.4200052849590512</c:v>
                </c:pt>
                <c:pt idx="59">
                  <c:v>-0.13757044389399103</c:v>
                </c:pt>
                <c:pt idx="60">
                  <c:v>1.7118493915073085</c:v>
                </c:pt>
                <c:pt idx="65">
                  <c:v>1.65349230229706</c:v>
                </c:pt>
                <c:pt idx="66">
                  <c:v>1.4096457517702048</c:v>
                </c:pt>
                <c:pt idx="68">
                  <c:v>2.4882686154954601</c:v>
                </c:pt>
                <c:pt idx="69">
                  <c:v>1.6409780573583321</c:v>
                </c:pt>
                <c:pt idx="71">
                  <c:v>0.64097805735833202</c:v>
                </c:pt>
                <c:pt idx="72">
                  <c:v>0.79934054945358168</c:v>
                </c:pt>
                <c:pt idx="73">
                  <c:v>1.4771212547196624</c:v>
                </c:pt>
                <c:pt idx="74">
                  <c:v>1.3010299956639813</c:v>
                </c:pt>
                <c:pt idx="75">
                  <c:v>1.7664128471123994</c:v>
                </c:pt>
                <c:pt idx="76">
                  <c:v>1.3752062210993303</c:v>
                </c:pt>
                <c:pt idx="77">
                  <c:v>1.8070070597740877</c:v>
                </c:pt>
                <c:pt idx="78">
                  <c:v>2.7913397039651393</c:v>
                </c:pt>
                <c:pt idx="79">
                  <c:v>2.3296012483565187</c:v>
                </c:pt>
                <c:pt idx="80">
                  <c:v>1.6875289612146342</c:v>
                </c:pt>
                <c:pt idx="81">
                  <c:v>2.230704313612569</c:v>
                </c:pt>
                <c:pt idx="82">
                  <c:v>2.3958503760187813</c:v>
                </c:pt>
                <c:pt idx="83">
                  <c:v>1.9068735347220704</c:v>
                </c:pt>
                <c:pt idx="84">
                  <c:v>2.4949195032388221</c:v>
                </c:pt>
                <c:pt idx="85">
                  <c:v>2.0421815945157662</c:v>
                </c:pt>
                <c:pt idx="86">
                  <c:v>1.6771349941689668</c:v>
                </c:pt>
                <c:pt idx="87">
                  <c:v>2.0594119374386564</c:v>
                </c:pt>
                <c:pt idx="88">
                  <c:v>0.61278385671973545</c:v>
                </c:pt>
                <c:pt idx="89">
                  <c:v>1.801403710017355</c:v>
                </c:pt>
                <c:pt idx="90">
                  <c:v>0.50514997831990605</c:v>
                </c:pt>
                <c:pt idx="93">
                  <c:v>1.9886570410646158</c:v>
                </c:pt>
                <c:pt idx="94">
                  <c:v>1.6577154028688956</c:v>
                </c:pt>
                <c:pt idx="96">
                  <c:v>2.1417569633549314</c:v>
                </c:pt>
                <c:pt idx="97">
                  <c:v>1.9193030300505234</c:v>
                </c:pt>
                <c:pt idx="100">
                  <c:v>1.2797353674105019</c:v>
                </c:pt>
              </c:numCache>
            </c:numRef>
          </c:yVal>
          <c:smooth val="0"/>
          <c:extLst>
            <c:ext xmlns:c16="http://schemas.microsoft.com/office/drawing/2014/chart" uri="{C3380CC4-5D6E-409C-BE32-E72D297353CC}">
              <c16:uniqueId val="{00000000-9F2D-BE45-9434-37AAFA9F5AB3}"/>
            </c:ext>
          </c:extLst>
        </c:ser>
        <c:ser>
          <c:idx val="1"/>
          <c:order val="1"/>
          <c:tx>
            <c:v>Corticosterone</c:v>
          </c:tx>
          <c:spPr>
            <a:ln w="19050" cap="rnd">
              <a:noFill/>
              <a:round/>
            </a:ln>
            <a:effectLst/>
          </c:spPr>
          <c:marker>
            <c:symbol val="circle"/>
            <c:size val="14"/>
            <c:spPr>
              <a:solidFill>
                <a:srgbClr val="00B0F0"/>
              </a:solidFill>
              <a:ln w="19050">
                <a:solidFill>
                  <a:srgbClr val="00B0F0"/>
                </a:solidFill>
              </a:ln>
              <a:effectLst/>
            </c:spPr>
          </c:marker>
          <c:trendline>
            <c:spPr>
              <a:ln w="76200" cap="rnd">
                <a:solidFill>
                  <a:srgbClr val="00B0F0"/>
                </a:solidFill>
                <a:prstDash val="solid"/>
              </a:ln>
              <a:effectLst/>
            </c:spPr>
            <c:trendlineType val="linear"/>
            <c:dispRSqr val="1"/>
            <c:dispEq val="1"/>
            <c:trendlineLbl>
              <c:layout>
                <c:manualLayout>
                  <c:x val="7.9304293048206076E-2"/>
                  <c:y val="-0.1740365533101943"/>
                </c:manualLayout>
              </c:layout>
              <c:tx>
                <c:rich>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r>
                      <a:rPr lang="en-US" sz="3600" baseline="0">
                        <a:solidFill>
                          <a:schemeClr val="tx1"/>
                        </a:solidFill>
                      </a:rPr>
                      <a:t>y = -0.34x + 3.56</a:t>
                    </a:r>
                    <a:br>
                      <a:rPr lang="en-US" sz="3600" baseline="0">
                        <a:solidFill>
                          <a:schemeClr val="tx1"/>
                        </a:solidFill>
                      </a:rPr>
                    </a:br>
                    <a:r>
                      <a:rPr lang="en-US" sz="3600" baseline="0">
                        <a:solidFill>
                          <a:schemeClr val="tx1"/>
                        </a:solidFill>
                      </a:rPr>
                      <a:t>R² = 0.51</a:t>
                    </a:r>
                    <a:endParaRPr lang="en-US" sz="3600">
                      <a:solidFill>
                        <a:schemeClr val="tx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trendlineLbl>
          </c:trendline>
          <c:xVal>
            <c:numRef>
              <c:f>'Poster Graphs'!$G$2:$G$102</c:f>
              <c:numCache>
                <c:formatCode>General</c:formatCode>
                <c:ptCount val="101"/>
                <c:pt idx="0">
                  <c:v>3.8450980400142569</c:v>
                </c:pt>
                <c:pt idx="1">
                  <c:v>5.8750612633917001</c:v>
                </c:pt>
                <c:pt idx="2">
                  <c:v>5.8750612633917001</c:v>
                </c:pt>
                <c:pt idx="3">
                  <c:v>4.7853298350107671</c:v>
                </c:pt>
                <c:pt idx="4">
                  <c:v>3.2041199826559246</c:v>
                </c:pt>
                <c:pt idx="5">
                  <c:v>5.2161659022859928</c:v>
                </c:pt>
                <c:pt idx="6">
                  <c:v>5.3324384599156049</c:v>
                </c:pt>
                <c:pt idx="7">
                  <c:v>4.3357987833253659</c:v>
                </c:pt>
                <c:pt idx="8">
                  <c:v>2.8621313793130372</c:v>
                </c:pt>
                <c:pt idx="9">
                  <c:v>3.4220971631317103</c:v>
                </c:pt>
                <c:pt idx="10">
                  <c:v>3.7585334222372864</c:v>
                </c:pt>
                <c:pt idx="11">
                  <c:v>1.8115750058705933</c:v>
                </c:pt>
                <c:pt idx="12">
                  <c:v>4.7853298350107671</c:v>
                </c:pt>
                <c:pt idx="13">
                  <c:v>3.6206564798196208</c:v>
                </c:pt>
                <c:pt idx="14">
                  <c:v>2.0211892990699383</c:v>
                </c:pt>
                <c:pt idx="15">
                  <c:v>5.2161659022859928</c:v>
                </c:pt>
                <c:pt idx="16">
                  <c:v>3.8129133566428557</c:v>
                </c:pt>
                <c:pt idx="17">
                  <c:v>4.2304489213782741</c:v>
                </c:pt>
                <c:pt idx="18">
                  <c:v>5.0107238653917729</c:v>
                </c:pt>
                <c:pt idx="19">
                  <c:v>1.6551384348113822</c:v>
                </c:pt>
                <c:pt idx="20">
                  <c:v>3.6532125137753435</c:v>
                </c:pt>
                <c:pt idx="21">
                  <c:v>2.6159500516564012</c:v>
                </c:pt>
                <c:pt idx="23">
                  <c:v>5.3324384599156049</c:v>
                </c:pt>
                <c:pt idx="24">
                  <c:v>5.3324384599156049</c:v>
                </c:pt>
                <c:pt idx="25">
                  <c:v>3.4220971631317103</c:v>
                </c:pt>
                <c:pt idx="26">
                  <c:v>3.7585334222372864</c:v>
                </c:pt>
                <c:pt idx="27">
                  <c:v>3.6989700043360187</c:v>
                </c:pt>
                <c:pt idx="28">
                  <c:v>5.1456376265514301</c:v>
                </c:pt>
                <c:pt idx="29">
                  <c:v>1.8115750058705933</c:v>
                </c:pt>
                <c:pt idx="30">
                  <c:v>3.4220971631317103</c:v>
                </c:pt>
                <c:pt idx="31">
                  <c:v>3.7585334222372864</c:v>
                </c:pt>
                <c:pt idx="32">
                  <c:v>3.6989700043360187</c:v>
                </c:pt>
                <c:pt idx="33">
                  <c:v>5.1456376265514301</c:v>
                </c:pt>
                <c:pt idx="34">
                  <c:v>1.8115750058705933</c:v>
                </c:pt>
                <c:pt idx="35">
                  <c:v>3.6989700043360187</c:v>
                </c:pt>
                <c:pt idx="36">
                  <c:v>3.4220971631317103</c:v>
                </c:pt>
                <c:pt idx="37">
                  <c:v>3.7585334222372864</c:v>
                </c:pt>
                <c:pt idx="38">
                  <c:v>5.1456376265514301</c:v>
                </c:pt>
                <c:pt idx="39">
                  <c:v>1.8115750058705933</c:v>
                </c:pt>
                <c:pt idx="40">
                  <c:v>5.078094150406411</c:v>
                </c:pt>
                <c:pt idx="41">
                  <c:v>5.078094150406411</c:v>
                </c:pt>
                <c:pt idx="42">
                  <c:v>3.1760912590556813</c:v>
                </c:pt>
                <c:pt idx="43">
                  <c:v>4.0273496077747568</c:v>
                </c:pt>
                <c:pt idx="44">
                  <c:v>6.2047519639454238</c:v>
                </c:pt>
                <c:pt idx="45">
                  <c:v>4.3053513694466234</c:v>
                </c:pt>
                <c:pt idx="46">
                  <c:v>1.319522449065454</c:v>
                </c:pt>
                <c:pt idx="47">
                  <c:v>1.4771212547196624</c:v>
                </c:pt>
                <c:pt idx="48">
                  <c:v>1.568201724066995</c:v>
                </c:pt>
                <c:pt idx="49">
                  <c:v>1.3222192947339193</c:v>
                </c:pt>
                <c:pt idx="50">
                  <c:v>6.5021538928713607</c:v>
                </c:pt>
                <c:pt idx="51">
                  <c:v>6.5021538928713607</c:v>
                </c:pt>
                <c:pt idx="52">
                  <c:v>3.6206564798196208</c:v>
                </c:pt>
                <c:pt idx="53">
                  <c:v>3.716003343634799</c:v>
                </c:pt>
                <c:pt idx="54">
                  <c:v>5.2161659022859928</c:v>
                </c:pt>
                <c:pt idx="55">
                  <c:v>5.3324384599156049</c:v>
                </c:pt>
                <c:pt idx="56">
                  <c:v>3.6161603128475828</c:v>
                </c:pt>
                <c:pt idx="57">
                  <c:v>1.6551384348113822</c:v>
                </c:pt>
                <c:pt idx="58">
                  <c:v>2.6154239528859438</c:v>
                </c:pt>
                <c:pt idx="59">
                  <c:v>5.3010299956639813</c:v>
                </c:pt>
                <c:pt idx="60">
                  <c:v>4.0773679052841567</c:v>
                </c:pt>
                <c:pt idx="61">
                  <c:v>5.3010299956639813</c:v>
                </c:pt>
                <c:pt idx="62">
                  <c:v>4.9395192526186182</c:v>
                </c:pt>
                <c:pt idx="63">
                  <c:v>4.4232458739368079</c:v>
                </c:pt>
                <c:pt idx="64">
                  <c:v>4.2405492482825995</c:v>
                </c:pt>
                <c:pt idx="65">
                  <c:v>6.0413926851582254</c:v>
                </c:pt>
                <c:pt idx="66">
                  <c:v>3.1139433523068369</c:v>
                </c:pt>
                <c:pt idx="67">
                  <c:v>5.8450980400142569</c:v>
                </c:pt>
                <c:pt idx="68">
                  <c:v>4.9092885241622506</c:v>
                </c:pt>
                <c:pt idx="69">
                  <c:v>4.7993405494535821</c:v>
                </c:pt>
                <c:pt idx="70">
                  <c:v>6.5954999695282837</c:v>
                </c:pt>
                <c:pt idx="71">
                  <c:v>3.4471580313422194</c:v>
                </c:pt>
                <c:pt idx="72">
                  <c:v>5.3324384599156049</c:v>
                </c:pt>
                <c:pt idx="73">
                  <c:v>5.2161659022859928</c:v>
                </c:pt>
                <c:pt idx="74">
                  <c:v>5.1456376265514301</c:v>
                </c:pt>
                <c:pt idx="75">
                  <c:v>3.1245042248342823</c:v>
                </c:pt>
                <c:pt idx="76">
                  <c:v>5.9030899869919438</c:v>
                </c:pt>
                <c:pt idx="77">
                  <c:v>5.4983105537896009</c:v>
                </c:pt>
                <c:pt idx="78">
                  <c:v>4.584852291227592</c:v>
                </c:pt>
                <c:pt idx="79">
                  <c:v>3.5910646070264991</c:v>
                </c:pt>
                <c:pt idx="80">
                  <c:v>5</c:v>
                </c:pt>
                <c:pt idx="81">
                  <c:v>3.0090257420869104</c:v>
                </c:pt>
                <c:pt idx="82">
                  <c:v>4.2900346113625183</c:v>
                </c:pt>
                <c:pt idx="83">
                  <c:v>5.01598810538413</c:v>
                </c:pt>
                <c:pt idx="84">
                  <c:v>4.3614104963100209</c:v>
                </c:pt>
                <c:pt idx="85">
                  <c:v>2.8898617212581885</c:v>
                </c:pt>
                <c:pt idx="86">
                  <c:v>4.0791812460476251</c:v>
                </c:pt>
                <c:pt idx="87">
                  <c:v>5.0700378666077555</c:v>
                </c:pt>
                <c:pt idx="88">
                  <c:v>6.3374592612906557</c:v>
                </c:pt>
                <c:pt idx="89">
                  <c:v>4.2552725051033065</c:v>
                </c:pt>
                <c:pt idx="90">
                  <c:v>4.653212513775344</c:v>
                </c:pt>
                <c:pt idx="91">
                  <c:v>5.6482624057480448</c:v>
                </c:pt>
                <c:pt idx="92">
                  <c:v>5.5843312243675305</c:v>
                </c:pt>
                <c:pt idx="93">
                  <c:v>4.6627578316815743</c:v>
                </c:pt>
                <c:pt idx="94">
                  <c:v>4.6334684555795862</c:v>
                </c:pt>
                <c:pt idx="95">
                  <c:v>3.5440680443502757</c:v>
                </c:pt>
                <c:pt idx="96">
                  <c:v>2.3710678622717363</c:v>
                </c:pt>
                <c:pt idx="97">
                  <c:v>5.249198357391113</c:v>
                </c:pt>
                <c:pt idx="98">
                  <c:v>5.0053950318867058</c:v>
                </c:pt>
                <c:pt idx="99">
                  <c:v>5.0053950318867058</c:v>
                </c:pt>
                <c:pt idx="100">
                  <c:v>5.4432629874586951</c:v>
                </c:pt>
              </c:numCache>
            </c:numRef>
          </c:xVal>
          <c:yVal>
            <c:numRef>
              <c:f>'Poster Graphs'!$J$2:$J$102</c:f>
              <c:numCache>
                <c:formatCode>General</c:formatCode>
                <c:ptCount val="101"/>
                <c:pt idx="36">
                  <c:v>3.0934216851622351</c:v>
                </c:pt>
                <c:pt idx="37">
                  <c:v>1.3979400086720377</c:v>
                </c:pt>
                <c:pt idx="38">
                  <c:v>1.7781512503836436</c:v>
                </c:pt>
                <c:pt idx="39">
                  <c:v>1.954242509439325</c:v>
                </c:pt>
                <c:pt idx="46">
                  <c:v>3.241322302888773</c:v>
                </c:pt>
                <c:pt idx="47">
                  <c:v>3.4536744989464845</c:v>
                </c:pt>
                <c:pt idx="48">
                  <c:v>3.2333210747112231</c:v>
                </c:pt>
                <c:pt idx="49">
                  <c:v>3.1573207464756821</c:v>
                </c:pt>
                <c:pt idx="59">
                  <c:v>0.71028664770289085</c:v>
                </c:pt>
                <c:pt idx="72">
                  <c:v>2.0117818305481068</c:v>
                </c:pt>
                <c:pt idx="73">
                  <c:v>2.8061799739838871</c:v>
                </c:pt>
                <c:pt idx="75">
                  <c:v>3.012837224705172</c:v>
                </c:pt>
                <c:pt idx="76">
                  <c:v>1.8112954393662359</c:v>
                </c:pt>
                <c:pt idx="77">
                  <c:v>2.0183342723191986</c:v>
                </c:pt>
                <c:pt idx="78">
                  <c:v>2.3671694885346808</c:v>
                </c:pt>
                <c:pt idx="79">
                  <c:v>2.5498611884719429</c:v>
                </c:pt>
                <c:pt idx="80">
                  <c:v>1.8068580295188175</c:v>
                </c:pt>
                <c:pt idx="81">
                  <c:v>2.0081741840064264</c:v>
                </c:pt>
                <c:pt idx="82">
                  <c:v>2.4802944600030066</c:v>
                </c:pt>
                <c:pt idx="83">
                  <c:v>1.6541765418779606</c:v>
                </c:pt>
                <c:pt idx="84">
                  <c:v>2.3340514403468919</c:v>
                </c:pt>
                <c:pt idx="85">
                  <c:v>2.2430380486862944</c:v>
                </c:pt>
                <c:pt idx="88">
                  <c:v>0.93449845124356767</c:v>
                </c:pt>
                <c:pt idx="92">
                  <c:v>1.209515014542631</c:v>
                </c:pt>
                <c:pt idx="95">
                  <c:v>2.12057393120585</c:v>
                </c:pt>
              </c:numCache>
            </c:numRef>
          </c:yVal>
          <c:smooth val="0"/>
          <c:extLst>
            <c:ext xmlns:c16="http://schemas.microsoft.com/office/drawing/2014/chart" uri="{C3380CC4-5D6E-409C-BE32-E72D297353CC}">
              <c16:uniqueId val="{00000001-9F2D-BE45-9434-37AAFA9F5AB3}"/>
            </c:ext>
          </c:extLst>
        </c:ser>
        <c:dLbls>
          <c:showLegendKey val="0"/>
          <c:showVal val="0"/>
          <c:showCatName val="0"/>
          <c:showSerName val="0"/>
          <c:showPercent val="0"/>
          <c:showBubbleSize val="0"/>
        </c:dLbls>
        <c:axId val="1611442768"/>
        <c:axId val="1630429504"/>
      </c:scatterChart>
      <c:valAx>
        <c:axId val="1611442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4000">
                    <a:solidFill>
                      <a:schemeClr val="tx1"/>
                    </a:solidFill>
                    <a:latin typeface="PT Sans" panose="020B0503020203020204" pitchFamily="34" charset="77"/>
                  </a:rPr>
                  <a:t>log</a:t>
                </a:r>
                <a:r>
                  <a:rPr lang="en-US" sz="4000" baseline="0">
                    <a:solidFill>
                      <a:schemeClr val="tx1"/>
                    </a:solidFill>
                    <a:latin typeface="PT Sans" panose="020B0503020203020204" pitchFamily="34" charset="77"/>
                  </a:rPr>
                  <a:t> </a:t>
                </a:r>
                <a:r>
                  <a:rPr lang="en-US" sz="4000">
                    <a:solidFill>
                      <a:schemeClr val="tx1"/>
                    </a:solidFill>
                    <a:latin typeface="PT Sans" panose="020B0503020203020204" pitchFamily="34" charset="77"/>
                  </a:rPr>
                  <a:t>body</a:t>
                </a:r>
                <a:r>
                  <a:rPr lang="en-US" sz="4000" baseline="0">
                    <a:solidFill>
                      <a:schemeClr val="tx1"/>
                    </a:solidFill>
                    <a:latin typeface="PT Sans" panose="020B0503020203020204" pitchFamily="34" charset="77"/>
                  </a:rPr>
                  <a:t> mass (g)</a:t>
                </a:r>
                <a:endParaRPr lang="en-US" sz="4000">
                  <a:solidFill>
                    <a:schemeClr val="tx1"/>
                  </a:solidFill>
                  <a:latin typeface="PT Sans" panose="020B0503020203020204" pitchFamily="34" charset="77"/>
                </a:endParaRPr>
              </a:p>
            </c:rich>
          </c:tx>
          <c:layout>
            <c:manualLayout>
              <c:xMode val="edge"/>
              <c:yMode val="edge"/>
              <c:x val="0.40170405763924361"/>
              <c:y val="0.924148301178193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8100" cap="flat" cmpd="sng" algn="ctr">
            <a:solidFill>
              <a:schemeClr val="tx1"/>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630429504"/>
        <c:crossesAt val="-1"/>
        <c:crossBetween val="midCat"/>
      </c:valAx>
      <c:valAx>
        <c:axId val="1630429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4000">
                    <a:solidFill>
                      <a:schemeClr val="tx1"/>
                    </a:solidFill>
                  </a:rPr>
                  <a:t>log [fecal GC]</a:t>
                </a:r>
                <a:r>
                  <a:rPr lang="en-US" sz="4000" baseline="0">
                    <a:solidFill>
                      <a:schemeClr val="tx1"/>
                    </a:solidFill>
                  </a:rPr>
                  <a:t> (ng/g)</a:t>
                </a:r>
                <a:endParaRPr lang="en-US" sz="4000">
                  <a:solidFill>
                    <a:schemeClr val="tx1"/>
                  </a:solidFill>
                </a:endParaRPr>
              </a:p>
            </c:rich>
          </c:tx>
          <c:layout>
            <c:manualLayout>
              <c:xMode val="edge"/>
              <c:yMode val="edge"/>
              <c:x val="3.6083613949622319E-2"/>
              <c:y val="0.316457357437260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8100" cap="flat" cmpd="sng" algn="ctr">
            <a:solidFill>
              <a:schemeClr val="tx1"/>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611442768"/>
        <c:crosses val="autoZero"/>
        <c:crossBetween val="midCat"/>
        <c:majorUnit val="1"/>
      </c:valAx>
      <c:spPr>
        <a:noFill/>
        <a:ln>
          <a:noFill/>
        </a:ln>
        <a:effectLst/>
      </c:spPr>
    </c:plotArea>
    <c:legend>
      <c:legendPos val="tr"/>
      <c:legendEntry>
        <c:idx val="0"/>
        <c:txPr>
          <a:bodyPr rot="0" spcFirstLastPara="1" vertOverflow="ellipsis" vert="horz" wrap="square" anchor="ctr" anchorCtr="1"/>
          <a:lstStyle/>
          <a:p>
            <a:pPr>
              <a:defRPr sz="4000" b="0" i="0" u="none" strike="noStrike" kern="1200" baseline="0">
                <a:solidFill>
                  <a:srgbClr val="002060"/>
                </a:solidFill>
                <a:latin typeface="+mn-lt"/>
                <a:ea typeface="+mn-ea"/>
                <a:cs typeface="+mn-cs"/>
              </a:defRPr>
            </a:pPr>
            <a:endParaRPr lang="en-US"/>
          </a:p>
        </c:txPr>
      </c:legendEntry>
      <c:legendEntry>
        <c:idx val="1"/>
        <c:txPr>
          <a:bodyPr rot="0" spcFirstLastPara="1" vertOverflow="ellipsis" vert="horz" wrap="square" anchor="ctr" anchorCtr="1"/>
          <a:lstStyle/>
          <a:p>
            <a:pPr>
              <a:defRPr sz="4000" b="0" i="0" u="none" strike="noStrike" kern="1200" baseline="0">
                <a:solidFill>
                  <a:srgbClr val="00B0F0"/>
                </a:solidFill>
                <a:latin typeface="+mn-lt"/>
                <a:ea typeface="+mn-ea"/>
                <a:cs typeface="+mn-cs"/>
              </a:defRPr>
            </a:pPr>
            <a:endParaRPr lang="en-US"/>
          </a:p>
        </c:txPr>
      </c:legendEntry>
      <c:legendEntry>
        <c:idx val="2"/>
        <c:delete val="1"/>
      </c:legendEntry>
      <c:legendEntry>
        <c:idx val="3"/>
        <c:delete val="1"/>
      </c:legendEntry>
      <c:layout>
        <c:manualLayout>
          <c:xMode val="edge"/>
          <c:yMode val="edge"/>
          <c:x val="0.61039097661502695"/>
          <c:y val="0.14499926701872365"/>
          <c:w val="0.37061840139256291"/>
          <c:h val="0.13092602402112921"/>
        </c:manualLayout>
      </c:layout>
      <c:overlay val="0"/>
      <c:spPr>
        <a:noFill/>
        <a:ln w="38100">
          <a:solidFill>
            <a:schemeClr val="tx1"/>
          </a:solid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400">
                <a:solidFill>
                  <a:schemeClr val="tx1"/>
                </a:solidFill>
              </a:rPr>
              <a:t>Stress</a:t>
            </a:r>
            <a:r>
              <a:rPr lang="en-US" sz="4400" baseline="0">
                <a:solidFill>
                  <a:schemeClr val="tx1"/>
                </a:solidFill>
              </a:rPr>
              <a:t> Hormones vs. Metabolic Rate</a:t>
            </a:r>
            <a:endParaRPr lang="en-US" sz="4400">
              <a:solidFill>
                <a:schemeClr val="tx1"/>
              </a:solidFill>
            </a:endParaRPr>
          </a:p>
        </c:rich>
      </c:tx>
      <c:layout>
        <c:manualLayout>
          <c:xMode val="edge"/>
          <c:yMode val="edge"/>
          <c:x val="0.16121482200782172"/>
          <c:y val="3.1738729301236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32182452073313"/>
          <c:y val="0.12183908045977011"/>
          <c:w val="0.84070049400674329"/>
          <c:h val="0.66393632907955469"/>
        </c:manualLayout>
      </c:layout>
      <c:scatterChart>
        <c:scatterStyle val="lineMarker"/>
        <c:varyColors val="0"/>
        <c:ser>
          <c:idx val="0"/>
          <c:order val="0"/>
          <c:tx>
            <c:v>Cortisol</c:v>
          </c:tx>
          <c:spPr>
            <a:ln w="19050" cap="rnd">
              <a:noFill/>
              <a:round/>
            </a:ln>
            <a:effectLst/>
          </c:spPr>
          <c:marker>
            <c:symbol val="circle"/>
            <c:size val="5"/>
            <c:spPr>
              <a:solidFill>
                <a:srgbClr val="002060"/>
              </a:solidFill>
              <a:ln w="127000">
                <a:solidFill>
                  <a:srgbClr val="002060"/>
                </a:solidFill>
              </a:ln>
              <a:effectLst/>
            </c:spPr>
          </c:marker>
          <c:xVal>
            <c:numRef>
              <c:f>'Poster Graphs'!$H$3:$H$102</c:f>
              <c:numCache>
                <c:formatCode>General</c:formatCode>
                <c:ptCount val="100"/>
                <c:pt idx="0">
                  <c:v>-3.0535477349869269</c:v>
                </c:pt>
                <c:pt idx="1">
                  <c:v>-3.0535477349869269</c:v>
                </c:pt>
                <c:pt idx="3">
                  <c:v>-2.3784083241407821</c:v>
                </c:pt>
                <c:pt idx="4">
                  <c:v>-2.931443104927637</c:v>
                </c:pt>
                <c:pt idx="6">
                  <c:v>-2.6663512434852987</c:v>
                </c:pt>
                <c:pt idx="7">
                  <c:v>-2.4771646863394698</c:v>
                </c:pt>
                <c:pt idx="12">
                  <c:v>-2.5526868911764318</c:v>
                </c:pt>
                <c:pt idx="13">
                  <c:v>-2.1953835830127448</c:v>
                </c:pt>
                <c:pt idx="14">
                  <c:v>-2.931443104927637</c:v>
                </c:pt>
                <c:pt idx="15">
                  <c:v>-2.8063189704587184</c:v>
                </c:pt>
                <c:pt idx="18">
                  <c:v>-2.2116194846804369</c:v>
                </c:pt>
                <c:pt idx="19">
                  <c:v>-2.8437538096026556</c:v>
                </c:pt>
                <c:pt idx="20">
                  <c:v>-2.3467874862246565</c:v>
                </c:pt>
                <c:pt idx="26">
                  <c:v>-2.9523358053984401</c:v>
                </c:pt>
                <c:pt idx="31">
                  <c:v>-2.9523358053984401</c:v>
                </c:pt>
                <c:pt idx="34">
                  <c:v>-2.9523358053984401</c:v>
                </c:pt>
                <c:pt idx="39">
                  <c:v>-3.0127807700919953</c:v>
                </c:pt>
                <c:pt idx="40">
                  <c:v>-3.0127807700919953</c:v>
                </c:pt>
                <c:pt idx="41">
                  <c:v>-2.9956786262173574</c:v>
                </c:pt>
                <c:pt idx="44">
                  <c:v>-2.7910214827237465</c:v>
                </c:pt>
                <c:pt idx="46">
                  <c:v>-2.0979971086492708</c:v>
                </c:pt>
                <c:pt idx="47">
                  <c:v>-2.3784083241407821</c:v>
                </c:pt>
                <c:pt idx="48">
                  <c:v>-1.9713067716060839</c:v>
                </c:pt>
                <c:pt idx="49">
                  <c:v>-3.1965428843515862</c:v>
                </c:pt>
                <c:pt idx="50">
                  <c:v>-3.1965428843515862</c:v>
                </c:pt>
                <c:pt idx="51">
                  <c:v>-2.5526868911764318</c:v>
                </c:pt>
                <c:pt idx="52">
                  <c:v>-2.6718243385616773</c:v>
                </c:pt>
                <c:pt idx="53">
                  <c:v>-2.931443104927637</c:v>
                </c:pt>
                <c:pt idx="55">
                  <c:v>-2.5231683714877393</c:v>
                </c:pt>
                <c:pt idx="56">
                  <c:v>-2.2116194846804369</c:v>
                </c:pt>
                <c:pt idx="58">
                  <c:v>-2.7752080435073183</c:v>
                </c:pt>
                <c:pt idx="60">
                  <c:v>-2.7752080435073183</c:v>
                </c:pt>
                <c:pt idx="61">
                  <c:v>-2.6998394630486477</c:v>
                </c:pt>
                <c:pt idx="62">
                  <c:v>-2.4233131947990043</c:v>
                </c:pt>
                <c:pt idx="65">
                  <c:v>-2.5244740849607195</c:v>
                </c:pt>
                <c:pt idx="67">
                  <c:v>-2.9072793553159006</c:v>
                </c:pt>
                <c:pt idx="69">
                  <c:v>-3.0457574905606752</c:v>
                </c:pt>
                <c:pt idx="72">
                  <c:v>-2.931443104927637</c:v>
                </c:pt>
                <c:pt idx="75">
                  <c:v>-3.0584885673655968</c:v>
                </c:pt>
                <c:pt idx="77">
                  <c:v>-2.7939841232366556</c:v>
                </c:pt>
                <c:pt idx="79">
                  <c:v>-3.1530446749801762</c:v>
                </c:pt>
                <c:pt idx="84">
                  <c:v>-2.691649051413274</c:v>
                </c:pt>
                <c:pt idx="88">
                  <c:v>-2.7785857621576615</c:v>
                </c:pt>
                <c:pt idx="89">
                  <c:v>-2.5850266520291822</c:v>
                </c:pt>
                <c:pt idx="90">
                  <c:v>-2.8538719643217618</c:v>
                </c:pt>
                <c:pt idx="94">
                  <c:v>-2.6972362915270183</c:v>
                </c:pt>
                <c:pt idx="95">
                  <c:v>-2.3187587626244128</c:v>
                </c:pt>
                <c:pt idx="97">
                  <c:v>-2.8513973451939068</c:v>
                </c:pt>
                <c:pt idx="98">
                  <c:v>-2.8513973451939068</c:v>
                </c:pt>
              </c:numCache>
            </c:numRef>
          </c:xVal>
          <c:yVal>
            <c:numRef>
              <c:f>'Poster Graphs'!$I$3:$I$102</c:f>
              <c:numCache>
                <c:formatCode>General</c:formatCode>
                <c:ptCount val="100"/>
                <c:pt idx="0">
                  <c:v>1.3138672203691535</c:v>
                </c:pt>
                <c:pt idx="3">
                  <c:v>3.022840610876528</c:v>
                </c:pt>
                <c:pt idx="6">
                  <c:v>1.7847598946640051</c:v>
                </c:pt>
                <c:pt idx="7">
                  <c:v>2.5431115439534384</c:v>
                </c:pt>
                <c:pt idx="8">
                  <c:v>3.8954225460394079</c:v>
                </c:pt>
                <c:pt idx="9">
                  <c:v>1.550228353055094</c:v>
                </c:pt>
                <c:pt idx="10">
                  <c:v>2.6232492903979003</c:v>
                </c:pt>
                <c:pt idx="19">
                  <c:v>3.4191293077419758</c:v>
                </c:pt>
                <c:pt idx="34">
                  <c:v>1.3222192947339193</c:v>
                </c:pt>
                <c:pt idx="41">
                  <c:v>2.8076026699164944</c:v>
                </c:pt>
                <c:pt idx="43">
                  <c:v>0.9849771264154934</c:v>
                </c:pt>
                <c:pt idx="49">
                  <c:v>1.6958632676583771</c:v>
                </c:pt>
                <c:pt idx="57">
                  <c:v>2.4200052849590512</c:v>
                </c:pt>
                <c:pt idx="58">
                  <c:v>-0.13757044389399103</c:v>
                </c:pt>
                <c:pt idx="59">
                  <c:v>1.7118493915073085</c:v>
                </c:pt>
                <c:pt idx="64">
                  <c:v>1.65349230229706</c:v>
                </c:pt>
                <c:pt idx="65">
                  <c:v>1.4096457517702048</c:v>
                </c:pt>
                <c:pt idx="67">
                  <c:v>2.4882686154954601</c:v>
                </c:pt>
                <c:pt idx="68">
                  <c:v>1.6409780573583321</c:v>
                </c:pt>
                <c:pt idx="70">
                  <c:v>0.64097805735833202</c:v>
                </c:pt>
                <c:pt idx="71">
                  <c:v>0.79934054945358168</c:v>
                </c:pt>
                <c:pt idx="72">
                  <c:v>1.4771212547196624</c:v>
                </c:pt>
                <c:pt idx="73">
                  <c:v>1.3010299956639813</c:v>
                </c:pt>
                <c:pt idx="74">
                  <c:v>1.7664128471123994</c:v>
                </c:pt>
                <c:pt idx="75">
                  <c:v>1.3752062210993303</c:v>
                </c:pt>
                <c:pt idx="76">
                  <c:v>1.8070070597740877</c:v>
                </c:pt>
                <c:pt idx="77">
                  <c:v>2.7913397039651393</c:v>
                </c:pt>
                <c:pt idx="78">
                  <c:v>2.3296012483565187</c:v>
                </c:pt>
                <c:pt idx="79">
                  <c:v>1.6875289612146342</c:v>
                </c:pt>
                <c:pt idx="80">
                  <c:v>2.230704313612569</c:v>
                </c:pt>
                <c:pt idx="81">
                  <c:v>2.3958503760187813</c:v>
                </c:pt>
                <c:pt idx="82">
                  <c:v>1.9068735347220704</c:v>
                </c:pt>
                <c:pt idx="83">
                  <c:v>2.4949195032388221</c:v>
                </c:pt>
                <c:pt idx="84">
                  <c:v>2.0421815945157662</c:v>
                </c:pt>
                <c:pt idx="85">
                  <c:v>1.6771349941689668</c:v>
                </c:pt>
                <c:pt idx="86">
                  <c:v>2.0594119374386564</c:v>
                </c:pt>
                <c:pt idx="87">
                  <c:v>0.61278385671973545</c:v>
                </c:pt>
                <c:pt idx="88">
                  <c:v>1.801403710017355</c:v>
                </c:pt>
                <c:pt idx="89">
                  <c:v>0.50514997831990605</c:v>
                </c:pt>
                <c:pt idx="92">
                  <c:v>1.9886570410646158</c:v>
                </c:pt>
                <c:pt idx="93">
                  <c:v>1.6577154028688956</c:v>
                </c:pt>
                <c:pt idx="95">
                  <c:v>2.1417569633549314</c:v>
                </c:pt>
                <c:pt idx="96">
                  <c:v>1.9193030300505234</c:v>
                </c:pt>
                <c:pt idx="99">
                  <c:v>1.2797353674105019</c:v>
                </c:pt>
              </c:numCache>
            </c:numRef>
          </c:yVal>
          <c:smooth val="0"/>
          <c:extLst>
            <c:ext xmlns:c16="http://schemas.microsoft.com/office/drawing/2014/chart" uri="{C3380CC4-5D6E-409C-BE32-E72D297353CC}">
              <c16:uniqueId val="{00000000-34C2-C441-957F-3A8CBB48B30F}"/>
            </c:ext>
          </c:extLst>
        </c:ser>
        <c:ser>
          <c:idx val="1"/>
          <c:order val="1"/>
          <c:tx>
            <c:v>Corticosterone</c:v>
          </c:tx>
          <c:spPr>
            <a:ln w="19050" cap="rnd">
              <a:noFill/>
              <a:round/>
            </a:ln>
            <a:effectLst/>
          </c:spPr>
          <c:marker>
            <c:symbol val="circle"/>
            <c:size val="5"/>
            <c:spPr>
              <a:solidFill>
                <a:srgbClr val="00B0F0"/>
              </a:solidFill>
              <a:ln w="127000">
                <a:solidFill>
                  <a:srgbClr val="00B0F0"/>
                </a:solidFill>
              </a:ln>
              <a:effectLst/>
            </c:spPr>
          </c:marker>
          <c:trendline>
            <c:spPr>
              <a:ln w="76200" cap="rnd">
                <a:solidFill>
                  <a:srgbClr val="00B0F0"/>
                </a:solidFill>
                <a:prstDash val="solid"/>
              </a:ln>
              <a:effectLst/>
            </c:spPr>
            <c:trendlineType val="linear"/>
            <c:dispRSqr val="1"/>
            <c:dispEq val="1"/>
            <c:trendlineLbl>
              <c:layout>
                <c:manualLayout>
                  <c:x val="0.26641657904036165"/>
                  <c:y val="0.23539347452258116"/>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3600" baseline="0">
                        <a:solidFill>
                          <a:schemeClr val="tx1"/>
                        </a:solidFill>
                      </a:rPr>
                      <a:t>y = 1.4x + 6.2</a:t>
                    </a:r>
                    <a:br>
                      <a:rPr lang="en-US" sz="3600" baseline="0">
                        <a:solidFill>
                          <a:schemeClr val="tx1"/>
                        </a:solidFill>
                      </a:rPr>
                    </a:br>
                    <a:r>
                      <a:rPr lang="en-US" sz="3600" baseline="0">
                        <a:solidFill>
                          <a:schemeClr val="tx1"/>
                        </a:solidFill>
                      </a:rPr>
                      <a:t>R² = 0.46</a:t>
                    </a:r>
                    <a:endParaRPr lang="en-US" sz="3600">
                      <a:solidFill>
                        <a:schemeClr val="tx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'Poster Graphs'!$H$3:$H$102</c:f>
              <c:numCache>
                <c:formatCode>General</c:formatCode>
                <c:ptCount val="100"/>
                <c:pt idx="0">
                  <c:v>-3.0535477349869269</c:v>
                </c:pt>
                <c:pt idx="1">
                  <c:v>-3.0535477349869269</c:v>
                </c:pt>
                <c:pt idx="3">
                  <c:v>-2.3784083241407821</c:v>
                </c:pt>
                <c:pt idx="4">
                  <c:v>-2.931443104927637</c:v>
                </c:pt>
                <c:pt idx="6">
                  <c:v>-2.6663512434852987</c:v>
                </c:pt>
                <c:pt idx="7">
                  <c:v>-2.4771646863394698</c:v>
                </c:pt>
                <c:pt idx="12">
                  <c:v>-2.5526868911764318</c:v>
                </c:pt>
                <c:pt idx="13">
                  <c:v>-2.1953835830127448</c:v>
                </c:pt>
                <c:pt idx="14">
                  <c:v>-2.931443104927637</c:v>
                </c:pt>
                <c:pt idx="15">
                  <c:v>-2.8063189704587184</c:v>
                </c:pt>
                <c:pt idx="18">
                  <c:v>-2.2116194846804369</c:v>
                </c:pt>
                <c:pt idx="19">
                  <c:v>-2.8437538096026556</c:v>
                </c:pt>
                <c:pt idx="20">
                  <c:v>-2.3467874862246565</c:v>
                </c:pt>
                <c:pt idx="26">
                  <c:v>-2.9523358053984401</c:v>
                </c:pt>
                <c:pt idx="31">
                  <c:v>-2.9523358053984401</c:v>
                </c:pt>
                <c:pt idx="34">
                  <c:v>-2.9523358053984401</c:v>
                </c:pt>
                <c:pt idx="39">
                  <c:v>-3.0127807700919953</c:v>
                </c:pt>
                <c:pt idx="40">
                  <c:v>-3.0127807700919953</c:v>
                </c:pt>
                <c:pt idx="41">
                  <c:v>-2.9956786262173574</c:v>
                </c:pt>
                <c:pt idx="44">
                  <c:v>-2.7910214827237465</c:v>
                </c:pt>
                <c:pt idx="46">
                  <c:v>-2.0979971086492708</c:v>
                </c:pt>
                <c:pt idx="47">
                  <c:v>-2.3784083241407821</c:v>
                </c:pt>
                <c:pt idx="48">
                  <c:v>-1.9713067716060839</c:v>
                </c:pt>
                <c:pt idx="49">
                  <c:v>-3.1965428843515862</c:v>
                </c:pt>
                <c:pt idx="50">
                  <c:v>-3.1965428843515862</c:v>
                </c:pt>
                <c:pt idx="51">
                  <c:v>-2.5526868911764318</c:v>
                </c:pt>
                <c:pt idx="52">
                  <c:v>-2.6718243385616773</c:v>
                </c:pt>
                <c:pt idx="53">
                  <c:v>-2.931443104927637</c:v>
                </c:pt>
                <c:pt idx="55">
                  <c:v>-2.5231683714877393</c:v>
                </c:pt>
                <c:pt idx="56">
                  <c:v>-2.2116194846804369</c:v>
                </c:pt>
                <c:pt idx="58">
                  <c:v>-2.7752080435073183</c:v>
                </c:pt>
                <c:pt idx="60">
                  <c:v>-2.7752080435073183</c:v>
                </c:pt>
                <c:pt idx="61">
                  <c:v>-2.6998394630486477</c:v>
                </c:pt>
                <c:pt idx="62">
                  <c:v>-2.4233131947990043</c:v>
                </c:pt>
                <c:pt idx="65">
                  <c:v>-2.5244740849607195</c:v>
                </c:pt>
                <c:pt idx="67">
                  <c:v>-2.9072793553159006</c:v>
                </c:pt>
                <c:pt idx="69">
                  <c:v>-3.0457574905606752</c:v>
                </c:pt>
                <c:pt idx="72">
                  <c:v>-2.931443104927637</c:v>
                </c:pt>
                <c:pt idx="75">
                  <c:v>-3.0584885673655968</c:v>
                </c:pt>
                <c:pt idx="77">
                  <c:v>-2.7939841232366556</c:v>
                </c:pt>
                <c:pt idx="79">
                  <c:v>-3.1530446749801762</c:v>
                </c:pt>
                <c:pt idx="84">
                  <c:v>-2.691649051413274</c:v>
                </c:pt>
                <c:pt idx="88">
                  <c:v>-2.7785857621576615</c:v>
                </c:pt>
                <c:pt idx="89">
                  <c:v>-2.5850266520291822</c:v>
                </c:pt>
                <c:pt idx="90">
                  <c:v>-2.8538719643217618</c:v>
                </c:pt>
                <c:pt idx="94">
                  <c:v>-2.6972362915270183</c:v>
                </c:pt>
                <c:pt idx="95">
                  <c:v>-2.3187587626244128</c:v>
                </c:pt>
                <c:pt idx="97">
                  <c:v>-2.8513973451939068</c:v>
                </c:pt>
                <c:pt idx="98">
                  <c:v>-2.8513973451939068</c:v>
                </c:pt>
              </c:numCache>
            </c:numRef>
          </c:xVal>
          <c:yVal>
            <c:numRef>
              <c:f>'Poster Graphs'!$J$3:$J$102</c:f>
              <c:numCache>
                <c:formatCode>General</c:formatCode>
                <c:ptCount val="100"/>
                <c:pt idx="35">
                  <c:v>3.0934216851622351</c:v>
                </c:pt>
                <c:pt idx="36">
                  <c:v>1.3979400086720377</c:v>
                </c:pt>
                <c:pt idx="37">
                  <c:v>1.7781512503836436</c:v>
                </c:pt>
                <c:pt idx="38">
                  <c:v>1.954242509439325</c:v>
                </c:pt>
                <c:pt idx="45">
                  <c:v>3.241322302888773</c:v>
                </c:pt>
                <c:pt idx="46">
                  <c:v>3.4536744989464845</c:v>
                </c:pt>
                <c:pt idx="47">
                  <c:v>3.2333210747112231</c:v>
                </c:pt>
                <c:pt idx="48">
                  <c:v>3.1573207464756821</c:v>
                </c:pt>
                <c:pt idx="58">
                  <c:v>0.71028664770289085</c:v>
                </c:pt>
                <c:pt idx="71">
                  <c:v>2.0117818305481068</c:v>
                </c:pt>
                <c:pt idx="72">
                  <c:v>2.8061799739838871</c:v>
                </c:pt>
                <c:pt idx="74">
                  <c:v>3.012837224705172</c:v>
                </c:pt>
                <c:pt idx="75">
                  <c:v>1.8112954393662359</c:v>
                </c:pt>
                <c:pt idx="76">
                  <c:v>2.0183342723191986</c:v>
                </c:pt>
                <c:pt idx="77">
                  <c:v>2.3671694885346808</c:v>
                </c:pt>
                <c:pt idx="78">
                  <c:v>2.5498611884719429</c:v>
                </c:pt>
                <c:pt idx="79">
                  <c:v>1.8068580295188175</c:v>
                </c:pt>
                <c:pt idx="80">
                  <c:v>2.0081741840064264</c:v>
                </c:pt>
                <c:pt idx="81">
                  <c:v>2.4802944600030066</c:v>
                </c:pt>
                <c:pt idx="82">
                  <c:v>1.6541765418779606</c:v>
                </c:pt>
                <c:pt idx="83">
                  <c:v>2.3340514403468919</c:v>
                </c:pt>
                <c:pt idx="84">
                  <c:v>2.2430380486862944</c:v>
                </c:pt>
                <c:pt idx="87">
                  <c:v>0.93449845124356767</c:v>
                </c:pt>
                <c:pt idx="91">
                  <c:v>1.209515014542631</c:v>
                </c:pt>
                <c:pt idx="94">
                  <c:v>2.12057393120585</c:v>
                </c:pt>
              </c:numCache>
            </c:numRef>
          </c:yVal>
          <c:smooth val="0"/>
          <c:extLst>
            <c:ext xmlns:c16="http://schemas.microsoft.com/office/drawing/2014/chart" uri="{C3380CC4-5D6E-409C-BE32-E72D297353CC}">
              <c16:uniqueId val="{00000001-34C2-C441-957F-3A8CBB48B30F}"/>
            </c:ext>
          </c:extLst>
        </c:ser>
        <c:dLbls>
          <c:showLegendKey val="0"/>
          <c:showVal val="0"/>
          <c:showCatName val="0"/>
          <c:showSerName val="0"/>
          <c:showPercent val="0"/>
          <c:showBubbleSize val="0"/>
        </c:dLbls>
        <c:axId val="1491459216"/>
        <c:axId val="1583209392"/>
      </c:scatterChart>
      <c:valAx>
        <c:axId val="1491459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4000">
                    <a:solidFill>
                      <a:schemeClr val="tx1"/>
                    </a:solidFill>
                    <a:latin typeface="PT Sans" panose="020B0503020203020204" pitchFamily="34" charset="77"/>
                  </a:rPr>
                  <a:t>log mass- specific metabolic rate (W/g)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8100" cap="flat" cmpd="sng" algn="ctr">
            <a:solidFill>
              <a:schemeClr val="tx1"/>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583209392"/>
        <c:crossesAt val="-1"/>
        <c:crossBetween val="midCat"/>
        <c:majorUnit val="1"/>
      </c:valAx>
      <c:valAx>
        <c:axId val="15832093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4000">
                    <a:solidFill>
                      <a:schemeClr val="tx1"/>
                    </a:solidFill>
                  </a:rPr>
                  <a:t>log</a:t>
                </a:r>
                <a:r>
                  <a:rPr lang="en-US" sz="4000" baseline="0">
                    <a:solidFill>
                      <a:schemeClr val="tx1"/>
                    </a:solidFill>
                  </a:rPr>
                  <a:t>  [fecal GC] (ng/g)</a:t>
                </a:r>
                <a:endParaRPr lang="en-US" sz="4000">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8100" cap="flat" cmpd="sng" algn="ctr">
            <a:solidFill>
              <a:schemeClr val="tx1"/>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491459216"/>
        <c:crossesAt val="-4"/>
        <c:crossBetween val="midCat"/>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'Poster Graphs'!$K$1</c:f>
              <c:strCache>
                <c:ptCount val="1"/>
                <c:pt idx="0">
                  <c:v>log elevated cortisol</c:v>
                </c:pt>
              </c:strCache>
            </c:strRef>
          </c:tx>
          <c:spPr>
            <a:ln w="19050" cap="rnd">
              <a:noFill/>
              <a:round/>
            </a:ln>
            <a:effectLst/>
          </c:spPr>
          <c:marker>
            <c:symbol val="circle"/>
            <c:size val="5"/>
            <c:spPr>
              <a:solidFill>
                <a:schemeClr val="accent1"/>
              </a:solidFill>
              <a:ln w="9525">
                <a:solidFill>
                  <a:schemeClr val="accent1"/>
                </a:solidFill>
              </a:ln>
              <a:effectLst/>
            </c:spPr>
          </c:marker>
          <c:xVal>
            <c:numRef>
              <c:f>'Poster Graphs'!$I$2:$I$222</c:f>
              <c:numCache>
                <c:formatCode>General</c:formatCode>
                <c:ptCount val="221"/>
                <c:pt idx="1">
                  <c:v>1.3138672203691535</c:v>
                </c:pt>
                <c:pt idx="4">
                  <c:v>3.022840610876528</c:v>
                </c:pt>
                <c:pt idx="7">
                  <c:v>1.7847598946640051</c:v>
                </c:pt>
                <c:pt idx="8">
                  <c:v>2.5431115439534384</c:v>
                </c:pt>
                <c:pt idx="9">
                  <c:v>3.8954225460394079</c:v>
                </c:pt>
                <c:pt idx="10">
                  <c:v>1.550228353055094</c:v>
                </c:pt>
                <c:pt idx="11">
                  <c:v>2.6232492903979003</c:v>
                </c:pt>
                <c:pt idx="20">
                  <c:v>3.4191293077419758</c:v>
                </c:pt>
                <c:pt idx="35">
                  <c:v>1.3222192947339193</c:v>
                </c:pt>
                <c:pt idx="42">
                  <c:v>2.8076026699164944</c:v>
                </c:pt>
                <c:pt idx="44">
                  <c:v>0.9849771264154934</c:v>
                </c:pt>
                <c:pt idx="50">
                  <c:v>1.6958632676583771</c:v>
                </c:pt>
                <c:pt idx="58">
                  <c:v>2.4200052849590512</c:v>
                </c:pt>
                <c:pt idx="59">
                  <c:v>-0.13757044389399103</c:v>
                </c:pt>
                <c:pt idx="60">
                  <c:v>1.7118493915073085</c:v>
                </c:pt>
                <c:pt idx="65">
                  <c:v>1.65349230229706</c:v>
                </c:pt>
                <c:pt idx="66">
                  <c:v>1.4096457517702048</c:v>
                </c:pt>
                <c:pt idx="68">
                  <c:v>2.4882686154954601</c:v>
                </c:pt>
                <c:pt idx="69">
                  <c:v>1.6409780573583321</c:v>
                </c:pt>
                <c:pt idx="71">
                  <c:v>0.64097805735833202</c:v>
                </c:pt>
                <c:pt idx="72">
                  <c:v>0.79934054945358168</c:v>
                </c:pt>
                <c:pt idx="73">
                  <c:v>1.4771212547196624</c:v>
                </c:pt>
                <c:pt idx="74">
                  <c:v>1.3010299956639813</c:v>
                </c:pt>
                <c:pt idx="75">
                  <c:v>1.7664128471123994</c:v>
                </c:pt>
                <c:pt idx="76">
                  <c:v>1.3752062210993303</c:v>
                </c:pt>
                <c:pt idx="77">
                  <c:v>1.8070070597740877</c:v>
                </c:pt>
                <c:pt idx="78">
                  <c:v>2.7913397039651393</c:v>
                </c:pt>
                <c:pt idx="79">
                  <c:v>2.3296012483565187</c:v>
                </c:pt>
                <c:pt idx="80">
                  <c:v>1.6875289612146342</c:v>
                </c:pt>
                <c:pt idx="81">
                  <c:v>2.230704313612569</c:v>
                </c:pt>
                <c:pt idx="82">
                  <c:v>2.3958503760187813</c:v>
                </c:pt>
                <c:pt idx="83">
                  <c:v>1.9068735347220704</c:v>
                </c:pt>
                <c:pt idx="84">
                  <c:v>2.4949195032388221</c:v>
                </c:pt>
                <c:pt idx="85">
                  <c:v>2.0421815945157662</c:v>
                </c:pt>
                <c:pt idx="86">
                  <c:v>1.6771349941689668</c:v>
                </c:pt>
                <c:pt idx="87">
                  <c:v>2.0594119374386564</c:v>
                </c:pt>
                <c:pt idx="88">
                  <c:v>0.61278385671973545</c:v>
                </c:pt>
                <c:pt idx="89">
                  <c:v>1.801403710017355</c:v>
                </c:pt>
                <c:pt idx="90">
                  <c:v>0.50514997831990605</c:v>
                </c:pt>
                <c:pt idx="93">
                  <c:v>1.9886570410646158</c:v>
                </c:pt>
                <c:pt idx="94">
                  <c:v>1.6577154028688956</c:v>
                </c:pt>
                <c:pt idx="96">
                  <c:v>2.1417569633549314</c:v>
                </c:pt>
                <c:pt idx="97">
                  <c:v>1.9193030300505234</c:v>
                </c:pt>
                <c:pt idx="100">
                  <c:v>1.2797353674105019</c:v>
                </c:pt>
              </c:numCache>
            </c:numRef>
          </c:xVal>
          <c:yVal>
            <c:numRef>
              <c:f>'Poster Graphs'!$K$2:$K$222</c:f>
              <c:numCache>
                <c:formatCode>General</c:formatCode>
                <c:ptCount val="221"/>
                <c:pt idx="4">
                  <c:v>4.0464951643347087</c:v>
                </c:pt>
                <c:pt idx="7">
                  <c:v>2.661812685537261</c:v>
                </c:pt>
                <c:pt idx="9">
                  <c:v>5.0836817472743014</c:v>
                </c:pt>
                <c:pt idx="10">
                  <c:v>2.2753113545418118</c:v>
                </c:pt>
                <c:pt idx="11">
                  <c:v>3.287801729930226</c:v>
                </c:pt>
                <c:pt idx="20">
                  <c:v>3.5737995822157407</c:v>
                </c:pt>
                <c:pt idx="35">
                  <c:v>1.568201724066995</c:v>
                </c:pt>
                <c:pt idx="42">
                  <c:v>3.1396587362081774</c:v>
                </c:pt>
                <c:pt idx="44">
                  <c:v>1.5475285764597821</c:v>
                </c:pt>
                <c:pt idx="58">
                  <c:v>2.6200006423000679</c:v>
                </c:pt>
                <c:pt idx="59">
                  <c:v>0.79874729800812749</c:v>
                </c:pt>
                <c:pt idx="60">
                  <c:v>1.9044179813876956</c:v>
                </c:pt>
                <c:pt idx="65">
                  <c:v>2.0249082628930526</c:v>
                </c:pt>
                <c:pt idx="66">
                  <c:v>2.3203810325917895</c:v>
                </c:pt>
                <c:pt idx="68">
                  <c:v>2.9142902556659491</c:v>
                </c:pt>
                <c:pt idx="69">
                  <c:v>2.8721271244894879</c:v>
                </c:pt>
                <c:pt idx="71">
                  <c:v>1.6394864892685861</c:v>
                </c:pt>
                <c:pt idx="72">
                  <c:v>1.2833012287035497</c:v>
                </c:pt>
                <c:pt idx="73">
                  <c:v>2.0606978403536118</c:v>
                </c:pt>
                <c:pt idx="74">
                  <c:v>1.6020599913279623</c:v>
                </c:pt>
                <c:pt idx="75">
                  <c:v>2.0178677189635055</c:v>
                </c:pt>
                <c:pt idx="76">
                  <c:v>1.69284691927723</c:v>
                </c:pt>
                <c:pt idx="77">
                  <c:v>1.1734747306700415</c:v>
                </c:pt>
                <c:pt idx="78">
                  <c:v>3.2672421488256047</c:v>
                </c:pt>
                <c:pt idx="79">
                  <c:v>2.5850092799024611</c:v>
                </c:pt>
                <c:pt idx="80">
                  <c:v>3.1549714415444714</c:v>
                </c:pt>
                <c:pt idx="81">
                  <c:v>2.5113485154902131</c:v>
                </c:pt>
                <c:pt idx="82">
                  <c:v>3.0416689664756102</c:v>
                </c:pt>
                <c:pt idx="83">
                  <c:v>2.567731962548069</c:v>
                </c:pt>
                <c:pt idx="84">
                  <c:v>2.9867045701325075</c:v>
                </c:pt>
                <c:pt idx="85">
                  <c:v>2.788239097382168</c:v>
                </c:pt>
                <c:pt idx="86">
                  <c:v>1.8183321441591931</c:v>
                </c:pt>
                <c:pt idx="87">
                  <c:v>2.2540450967400734</c:v>
                </c:pt>
                <c:pt idx="88">
                  <c:v>1.4517864355242902</c:v>
                </c:pt>
                <c:pt idx="90">
                  <c:v>0.71180722904119109</c:v>
                </c:pt>
                <c:pt idx="93">
                  <c:v>3.2969956108897409</c:v>
                </c:pt>
                <c:pt idx="94">
                  <c:v>2.3596451286151945</c:v>
                </c:pt>
                <c:pt idx="96">
                  <c:v>2.4346088189721344</c:v>
                </c:pt>
                <c:pt idx="97">
                  <c:v>2.2663704793581578</c:v>
                </c:pt>
                <c:pt idx="100">
                  <c:v>2.0509787699017936</c:v>
                </c:pt>
              </c:numCache>
            </c:numRef>
          </c:yVal>
          <c:smooth val="0"/>
          <c:extLst>
            <c:ext xmlns:c16="http://schemas.microsoft.com/office/drawing/2014/chart" uri="{C3380CC4-5D6E-409C-BE32-E72D297353CC}">
              <c16:uniqueId val="{00000000-D376-DB41-9ECB-7607D6D3C3CA}"/>
            </c:ext>
          </c:extLst>
        </c:ser>
        <c:dLbls>
          <c:showLegendKey val="0"/>
          <c:showVal val="0"/>
          <c:showCatName val="0"/>
          <c:showSerName val="0"/>
          <c:showPercent val="0"/>
          <c:showBubbleSize val="0"/>
        </c:dLbls>
        <c:axId val="1301142624"/>
        <c:axId val="1301150480"/>
      </c:scatterChart>
      <c:valAx>
        <c:axId val="1301142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150480"/>
        <c:crosses val="autoZero"/>
        <c:crossBetween val="midCat"/>
      </c:valAx>
      <c:valAx>
        <c:axId val="130115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1426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'Poster Graphs'!$L$1</c:f>
              <c:strCache>
                <c:ptCount val="1"/>
                <c:pt idx="0">
                  <c:v>log elevated corticosterone</c:v>
                </c:pt>
              </c:strCache>
            </c:strRef>
          </c:tx>
          <c:spPr>
            <a:ln w="19050" cap="rnd">
              <a:noFill/>
              <a:round/>
            </a:ln>
            <a:effectLst/>
          </c:spPr>
          <c:marker>
            <c:symbol val="circle"/>
            <c:size val="5"/>
            <c:spPr>
              <a:solidFill>
                <a:schemeClr val="accent1"/>
              </a:solidFill>
              <a:ln w="9525">
                <a:solidFill>
                  <a:schemeClr val="accent1"/>
                </a:solidFill>
              </a:ln>
              <a:effectLst/>
            </c:spPr>
          </c:marker>
          <c:xVal>
            <c:numRef>
              <c:f>'Poster Graphs'!$J$2:$J$222</c:f>
              <c:numCache>
                <c:formatCode>General</c:formatCode>
                <c:ptCount val="221"/>
                <c:pt idx="36">
                  <c:v>3.0934216851622351</c:v>
                </c:pt>
                <c:pt idx="37">
                  <c:v>1.3979400086720377</c:v>
                </c:pt>
                <c:pt idx="38">
                  <c:v>1.7781512503836436</c:v>
                </c:pt>
                <c:pt idx="39">
                  <c:v>1.954242509439325</c:v>
                </c:pt>
                <c:pt idx="46">
                  <c:v>3.241322302888773</c:v>
                </c:pt>
                <c:pt idx="47">
                  <c:v>3.4536744989464845</c:v>
                </c:pt>
                <c:pt idx="48">
                  <c:v>3.2333210747112231</c:v>
                </c:pt>
                <c:pt idx="49">
                  <c:v>3.1573207464756821</c:v>
                </c:pt>
                <c:pt idx="59">
                  <c:v>0.71028664770289085</c:v>
                </c:pt>
                <c:pt idx="72">
                  <c:v>2.0117818305481068</c:v>
                </c:pt>
                <c:pt idx="73">
                  <c:v>2.8061799739838871</c:v>
                </c:pt>
                <c:pt idx="75">
                  <c:v>3.012837224705172</c:v>
                </c:pt>
                <c:pt idx="76">
                  <c:v>1.8112954393662359</c:v>
                </c:pt>
                <c:pt idx="77">
                  <c:v>2.0183342723191986</c:v>
                </c:pt>
                <c:pt idx="78">
                  <c:v>2.3671694885346808</c:v>
                </c:pt>
                <c:pt idx="79">
                  <c:v>2.5498611884719429</c:v>
                </c:pt>
                <c:pt idx="80">
                  <c:v>1.8068580295188175</c:v>
                </c:pt>
                <c:pt idx="81">
                  <c:v>2.0081741840064264</c:v>
                </c:pt>
                <c:pt idx="82">
                  <c:v>2.4802944600030066</c:v>
                </c:pt>
                <c:pt idx="83">
                  <c:v>1.6541765418779606</c:v>
                </c:pt>
                <c:pt idx="84">
                  <c:v>2.3340514403468919</c:v>
                </c:pt>
                <c:pt idx="85">
                  <c:v>2.2430380486862944</c:v>
                </c:pt>
                <c:pt idx="88">
                  <c:v>0.93449845124356767</c:v>
                </c:pt>
                <c:pt idx="92">
                  <c:v>1.209515014542631</c:v>
                </c:pt>
                <c:pt idx="95">
                  <c:v>2.12057393120585</c:v>
                </c:pt>
              </c:numCache>
            </c:numRef>
          </c:xVal>
          <c:yVal>
            <c:numRef>
              <c:f>'Poster Graphs'!$L$2:$L$222</c:f>
              <c:numCache>
                <c:formatCode>General</c:formatCode>
                <c:ptCount val="221"/>
                <c:pt idx="36">
                  <c:v>4.8118764945893329</c:v>
                </c:pt>
                <c:pt idx="37">
                  <c:v>2.8747716371842982</c:v>
                </c:pt>
                <c:pt idx="38">
                  <c:v>2.1461280356782382</c:v>
                </c:pt>
                <c:pt idx="39">
                  <c:v>2.9395192526186187</c:v>
                </c:pt>
                <c:pt idx="49">
                  <c:v>3.3744678881490628</c:v>
                </c:pt>
                <c:pt idx="59">
                  <c:v>1.2212837994926862</c:v>
                </c:pt>
                <c:pt idx="72">
                  <c:v>2.453165392525857</c:v>
                </c:pt>
                <c:pt idx="73">
                  <c:v>3.12057393120585</c:v>
                </c:pt>
                <c:pt idx="75">
                  <c:v>3.3263358609287512</c:v>
                </c:pt>
                <c:pt idx="76">
                  <c:v>2.2523675144598987</c:v>
                </c:pt>
                <c:pt idx="77">
                  <c:v>1.7766067618808743</c:v>
                </c:pt>
                <c:pt idx="78">
                  <c:v>3.553640336231354</c:v>
                </c:pt>
                <c:pt idx="79">
                  <c:v>2.7359978840917938</c:v>
                </c:pt>
                <c:pt idx="80">
                  <c:v>2.823800153749878</c:v>
                </c:pt>
                <c:pt idx="81">
                  <c:v>2.2422929049829308</c:v>
                </c:pt>
                <c:pt idx="82">
                  <c:v>3.2099972960823688</c:v>
                </c:pt>
                <c:pt idx="83">
                  <c:v>2.3279716236230108</c:v>
                </c:pt>
                <c:pt idx="84">
                  <c:v>2.8355637516690968</c:v>
                </c:pt>
                <c:pt idx="85">
                  <c:v>3.4269664626300749</c:v>
                </c:pt>
                <c:pt idx="88">
                  <c:v>1.4345689040341987</c:v>
                </c:pt>
                <c:pt idx="92">
                  <c:v>1.3996737214810382</c:v>
                </c:pt>
                <c:pt idx="95">
                  <c:v>3.6451273992583912</c:v>
                </c:pt>
              </c:numCache>
            </c:numRef>
          </c:yVal>
          <c:smooth val="0"/>
          <c:extLst>
            <c:ext xmlns:c16="http://schemas.microsoft.com/office/drawing/2014/chart" uri="{C3380CC4-5D6E-409C-BE32-E72D297353CC}">
              <c16:uniqueId val="{00000000-0C59-D249-91EF-8CB8FC7CFC1B}"/>
            </c:ext>
          </c:extLst>
        </c:ser>
        <c:dLbls>
          <c:showLegendKey val="0"/>
          <c:showVal val="0"/>
          <c:showCatName val="0"/>
          <c:showSerName val="0"/>
          <c:showPercent val="0"/>
          <c:showBubbleSize val="0"/>
        </c:dLbls>
        <c:axId val="1496939840"/>
        <c:axId val="1264712336"/>
      </c:scatterChart>
      <c:valAx>
        <c:axId val="1496939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712336"/>
        <c:crosses val="autoZero"/>
        <c:crossBetween val="midCat"/>
      </c:valAx>
      <c:valAx>
        <c:axId val="126471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9398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r>
              <a:rPr lang="en-US" sz="4400">
                <a:solidFill>
                  <a:schemeClr val="tx1"/>
                </a:solidFill>
              </a:rPr>
              <a:t>Elevated</a:t>
            </a:r>
            <a:r>
              <a:rPr lang="en-US" sz="4400" baseline="0">
                <a:solidFill>
                  <a:schemeClr val="tx1"/>
                </a:solidFill>
              </a:rPr>
              <a:t> vs. Baseline Stress Levels</a:t>
            </a:r>
            <a:endParaRPr lang="en-US" sz="4400">
              <a:solidFill>
                <a:schemeClr val="tx1"/>
              </a:solidFill>
            </a:endParaRPr>
          </a:p>
        </c:rich>
      </c:tx>
      <c:overlay val="0"/>
      <c:spPr>
        <a:noFill/>
        <a:ln>
          <a:noFill/>
        </a:ln>
        <a:effectLst/>
      </c:spPr>
      <c:txPr>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146432898421276"/>
          <c:y val="0.12562813510572052"/>
          <c:w val="0.82453698306793488"/>
          <c:h val="0.71131952095194706"/>
        </c:manualLayout>
      </c:layout>
      <c:scatterChart>
        <c:scatterStyle val="lineMarker"/>
        <c:varyColors val="0"/>
        <c:ser>
          <c:idx val="0"/>
          <c:order val="0"/>
          <c:tx>
            <c:v> Cortisol</c:v>
          </c:tx>
          <c:spPr>
            <a:ln w="25400" cap="rnd">
              <a:noFill/>
              <a:round/>
            </a:ln>
            <a:effectLst/>
          </c:spPr>
          <c:marker>
            <c:symbol val="circle"/>
            <c:size val="5"/>
            <c:spPr>
              <a:solidFill>
                <a:schemeClr val="accent1"/>
              </a:solidFill>
              <a:ln w="127000">
                <a:solidFill>
                  <a:srgbClr val="002060"/>
                </a:solidFill>
              </a:ln>
              <a:effectLst/>
            </c:spPr>
          </c:marker>
          <c:trendline>
            <c:spPr>
              <a:ln w="76200" cap="rnd">
                <a:solidFill>
                  <a:srgbClr val="002060"/>
                </a:solidFill>
                <a:prstDash val="solid"/>
              </a:ln>
              <a:effectLst/>
            </c:spPr>
            <c:trendlineType val="linear"/>
            <c:dispRSqr val="1"/>
            <c:dispEq val="1"/>
            <c:trendlineLbl>
              <c:layout>
                <c:manualLayout>
                  <c:x val="-4.8968165852395738E-2"/>
                  <c:y val="0.43017922528425517"/>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3600" baseline="0">
                        <a:solidFill>
                          <a:schemeClr val="tx1"/>
                        </a:solidFill>
                      </a:rPr>
                      <a:t>y = 0.97x + 0.60</a:t>
                    </a:r>
                    <a:br>
                      <a:rPr lang="en-US" sz="3600" baseline="0">
                        <a:solidFill>
                          <a:schemeClr val="tx1"/>
                        </a:solidFill>
                      </a:rPr>
                    </a:br>
                    <a:r>
                      <a:rPr lang="en-US" sz="3600" baseline="0">
                        <a:solidFill>
                          <a:schemeClr val="tx1"/>
                        </a:solidFill>
                      </a:rPr>
                      <a:t>R² = 0.79</a:t>
                    </a:r>
                    <a:endParaRPr lang="en-US" sz="3600">
                      <a:solidFill>
                        <a:schemeClr val="tx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'Poster Graphs'!$I$2:$I$103</c:f>
              <c:numCache>
                <c:formatCode>General</c:formatCode>
                <c:ptCount val="102"/>
                <c:pt idx="1">
                  <c:v>1.3138672203691535</c:v>
                </c:pt>
                <c:pt idx="4">
                  <c:v>3.022840610876528</c:v>
                </c:pt>
                <c:pt idx="7">
                  <c:v>1.7847598946640051</c:v>
                </c:pt>
                <c:pt idx="8">
                  <c:v>2.5431115439534384</c:v>
                </c:pt>
                <c:pt idx="9">
                  <c:v>3.8954225460394079</c:v>
                </c:pt>
                <c:pt idx="10">
                  <c:v>1.550228353055094</c:v>
                </c:pt>
                <c:pt idx="11">
                  <c:v>2.6232492903979003</c:v>
                </c:pt>
                <c:pt idx="20">
                  <c:v>3.4191293077419758</c:v>
                </c:pt>
                <c:pt idx="35">
                  <c:v>1.3222192947339193</c:v>
                </c:pt>
                <c:pt idx="42">
                  <c:v>2.8076026699164944</c:v>
                </c:pt>
                <c:pt idx="44">
                  <c:v>0.9849771264154934</c:v>
                </c:pt>
                <c:pt idx="50">
                  <c:v>1.6958632676583771</c:v>
                </c:pt>
                <c:pt idx="58">
                  <c:v>2.4200052849590512</c:v>
                </c:pt>
                <c:pt idx="59">
                  <c:v>-0.13757044389399103</c:v>
                </c:pt>
                <c:pt idx="60">
                  <c:v>1.7118493915073085</c:v>
                </c:pt>
                <c:pt idx="65">
                  <c:v>1.65349230229706</c:v>
                </c:pt>
                <c:pt idx="66">
                  <c:v>1.4096457517702048</c:v>
                </c:pt>
                <c:pt idx="68">
                  <c:v>2.4882686154954601</c:v>
                </c:pt>
                <c:pt idx="69">
                  <c:v>1.6409780573583321</c:v>
                </c:pt>
                <c:pt idx="71">
                  <c:v>0.64097805735833202</c:v>
                </c:pt>
                <c:pt idx="72">
                  <c:v>0.79934054945358168</c:v>
                </c:pt>
                <c:pt idx="73">
                  <c:v>1.4771212547196624</c:v>
                </c:pt>
                <c:pt idx="74">
                  <c:v>1.3010299956639813</c:v>
                </c:pt>
                <c:pt idx="75">
                  <c:v>1.7664128471123994</c:v>
                </c:pt>
                <c:pt idx="76">
                  <c:v>1.3752062210993303</c:v>
                </c:pt>
                <c:pt idx="77">
                  <c:v>1.8070070597740877</c:v>
                </c:pt>
                <c:pt idx="78">
                  <c:v>2.7913397039651393</c:v>
                </c:pt>
                <c:pt idx="79">
                  <c:v>2.3296012483565187</c:v>
                </c:pt>
                <c:pt idx="80">
                  <c:v>1.6875289612146342</c:v>
                </c:pt>
                <c:pt idx="81">
                  <c:v>2.230704313612569</c:v>
                </c:pt>
                <c:pt idx="82">
                  <c:v>2.3958503760187813</c:v>
                </c:pt>
                <c:pt idx="83">
                  <c:v>1.9068735347220704</c:v>
                </c:pt>
                <c:pt idx="84">
                  <c:v>2.4949195032388221</c:v>
                </c:pt>
                <c:pt idx="85">
                  <c:v>2.0421815945157662</c:v>
                </c:pt>
                <c:pt idx="86">
                  <c:v>1.6771349941689668</c:v>
                </c:pt>
                <c:pt idx="87">
                  <c:v>2.0594119374386564</c:v>
                </c:pt>
                <c:pt idx="88">
                  <c:v>0.61278385671973545</c:v>
                </c:pt>
                <c:pt idx="89">
                  <c:v>1.801403710017355</c:v>
                </c:pt>
                <c:pt idx="90">
                  <c:v>0.50514997831990605</c:v>
                </c:pt>
                <c:pt idx="93">
                  <c:v>1.9886570410646158</c:v>
                </c:pt>
                <c:pt idx="94">
                  <c:v>1.6577154028688956</c:v>
                </c:pt>
                <c:pt idx="96">
                  <c:v>2.1417569633549314</c:v>
                </c:pt>
                <c:pt idx="97">
                  <c:v>1.9193030300505234</c:v>
                </c:pt>
                <c:pt idx="100">
                  <c:v>1.2797353674105019</c:v>
                </c:pt>
              </c:numCache>
            </c:numRef>
          </c:xVal>
          <c:yVal>
            <c:numRef>
              <c:f>'Poster Graphs'!$K$2:$K$102</c:f>
              <c:numCache>
                <c:formatCode>General</c:formatCode>
                <c:ptCount val="101"/>
                <c:pt idx="4">
                  <c:v>4.0464951643347087</c:v>
                </c:pt>
                <c:pt idx="7">
                  <c:v>2.661812685537261</c:v>
                </c:pt>
                <c:pt idx="9">
                  <c:v>5.0836817472743014</c:v>
                </c:pt>
                <c:pt idx="10">
                  <c:v>2.2753113545418118</c:v>
                </c:pt>
                <c:pt idx="11">
                  <c:v>3.287801729930226</c:v>
                </c:pt>
                <c:pt idx="20">
                  <c:v>3.5737995822157407</c:v>
                </c:pt>
                <c:pt idx="35">
                  <c:v>1.568201724066995</c:v>
                </c:pt>
                <c:pt idx="42">
                  <c:v>3.1396587362081774</c:v>
                </c:pt>
                <c:pt idx="44">
                  <c:v>1.5475285764597821</c:v>
                </c:pt>
                <c:pt idx="58">
                  <c:v>2.6200006423000679</c:v>
                </c:pt>
                <c:pt idx="59">
                  <c:v>0.79874729800812749</c:v>
                </c:pt>
                <c:pt idx="60">
                  <c:v>1.9044179813876956</c:v>
                </c:pt>
                <c:pt idx="65">
                  <c:v>2.0249082628930526</c:v>
                </c:pt>
                <c:pt idx="66">
                  <c:v>2.3203810325917895</c:v>
                </c:pt>
                <c:pt idx="68">
                  <c:v>2.9142902556659491</c:v>
                </c:pt>
                <c:pt idx="69">
                  <c:v>2.8721271244894879</c:v>
                </c:pt>
                <c:pt idx="71">
                  <c:v>1.6394864892685861</c:v>
                </c:pt>
                <c:pt idx="72">
                  <c:v>1.2833012287035497</c:v>
                </c:pt>
                <c:pt idx="73">
                  <c:v>2.0606978403536118</c:v>
                </c:pt>
                <c:pt idx="74">
                  <c:v>1.6020599913279623</c:v>
                </c:pt>
                <c:pt idx="75">
                  <c:v>2.0178677189635055</c:v>
                </c:pt>
                <c:pt idx="76">
                  <c:v>1.69284691927723</c:v>
                </c:pt>
                <c:pt idx="77">
                  <c:v>1.1734747306700415</c:v>
                </c:pt>
                <c:pt idx="78">
                  <c:v>3.2672421488256047</c:v>
                </c:pt>
                <c:pt idx="79">
                  <c:v>2.5850092799024611</c:v>
                </c:pt>
                <c:pt idx="80">
                  <c:v>3.1549714415444714</c:v>
                </c:pt>
                <c:pt idx="81">
                  <c:v>2.5113485154902131</c:v>
                </c:pt>
                <c:pt idx="82">
                  <c:v>3.0416689664756102</c:v>
                </c:pt>
                <c:pt idx="83">
                  <c:v>2.567731962548069</c:v>
                </c:pt>
                <c:pt idx="84">
                  <c:v>2.9867045701325075</c:v>
                </c:pt>
                <c:pt idx="85">
                  <c:v>2.788239097382168</c:v>
                </c:pt>
                <c:pt idx="86">
                  <c:v>1.8183321441591931</c:v>
                </c:pt>
                <c:pt idx="87">
                  <c:v>2.2540450967400734</c:v>
                </c:pt>
                <c:pt idx="88">
                  <c:v>1.4517864355242902</c:v>
                </c:pt>
                <c:pt idx="90">
                  <c:v>0.71180722904119109</c:v>
                </c:pt>
                <c:pt idx="93">
                  <c:v>3.2969956108897409</c:v>
                </c:pt>
                <c:pt idx="94">
                  <c:v>2.3596451286151945</c:v>
                </c:pt>
                <c:pt idx="96">
                  <c:v>2.4346088189721344</c:v>
                </c:pt>
                <c:pt idx="97">
                  <c:v>2.2663704793581578</c:v>
                </c:pt>
                <c:pt idx="100">
                  <c:v>2.0509787699017936</c:v>
                </c:pt>
              </c:numCache>
            </c:numRef>
          </c:yVal>
          <c:smooth val="0"/>
          <c:extLst>
            <c:ext xmlns:c16="http://schemas.microsoft.com/office/drawing/2014/chart" uri="{C3380CC4-5D6E-409C-BE32-E72D297353CC}">
              <c16:uniqueId val="{00000000-D165-9042-AE25-2136AD00D831}"/>
            </c:ext>
          </c:extLst>
        </c:ser>
        <c:ser>
          <c:idx val="1"/>
          <c:order val="1"/>
          <c:tx>
            <c:v>Corticosterone</c:v>
          </c:tx>
          <c:spPr>
            <a:ln w="25400" cap="rnd">
              <a:noFill/>
              <a:round/>
            </a:ln>
            <a:effectLst/>
          </c:spPr>
          <c:marker>
            <c:symbol val="circle"/>
            <c:size val="5"/>
            <c:spPr>
              <a:solidFill>
                <a:schemeClr val="accent2"/>
              </a:solidFill>
              <a:ln w="127000">
                <a:solidFill>
                  <a:srgbClr val="00B0F0"/>
                </a:solidFill>
              </a:ln>
              <a:effectLst/>
            </c:spPr>
          </c:marker>
          <c:trendline>
            <c:spPr>
              <a:ln w="76200" cap="rnd">
                <a:solidFill>
                  <a:srgbClr val="00B0F0"/>
                </a:solidFill>
                <a:prstDash val="solid"/>
              </a:ln>
              <a:effectLst/>
            </c:spPr>
            <c:trendlineType val="linear"/>
            <c:dispRSqr val="1"/>
            <c:dispEq val="1"/>
            <c:trendlineLbl>
              <c:layout>
                <c:manualLayout>
                  <c:x val="-0.26879245377066263"/>
                  <c:y val="5.4559611984890226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3600" baseline="0">
                        <a:solidFill>
                          <a:schemeClr val="tx1"/>
                        </a:solidFill>
                      </a:rPr>
                      <a:t>y = 1.0x + 0.57</a:t>
                    </a:r>
                    <a:br>
                      <a:rPr lang="en-US" sz="3600" baseline="0">
                        <a:solidFill>
                          <a:schemeClr val="tx1"/>
                        </a:solidFill>
                      </a:rPr>
                    </a:br>
                    <a:r>
                      <a:rPr lang="en-US" sz="3600" baseline="0">
                        <a:solidFill>
                          <a:schemeClr val="tx1"/>
                        </a:solidFill>
                      </a:rPr>
                      <a:t>R² = 0.64</a:t>
                    </a:r>
                    <a:endParaRPr lang="en-US" sz="3600">
                      <a:solidFill>
                        <a:schemeClr val="tx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'Poster Graphs'!$J$2:$J$102</c:f>
              <c:numCache>
                <c:formatCode>General</c:formatCode>
                <c:ptCount val="101"/>
                <c:pt idx="36">
                  <c:v>3.0934216851622351</c:v>
                </c:pt>
                <c:pt idx="37">
                  <c:v>1.3979400086720377</c:v>
                </c:pt>
                <c:pt idx="38">
                  <c:v>1.7781512503836436</c:v>
                </c:pt>
                <c:pt idx="39">
                  <c:v>1.954242509439325</c:v>
                </c:pt>
                <c:pt idx="46">
                  <c:v>3.241322302888773</c:v>
                </c:pt>
                <c:pt idx="47">
                  <c:v>3.4536744989464845</c:v>
                </c:pt>
                <c:pt idx="48">
                  <c:v>3.2333210747112231</c:v>
                </c:pt>
                <c:pt idx="49">
                  <c:v>3.1573207464756821</c:v>
                </c:pt>
                <c:pt idx="59">
                  <c:v>0.71028664770289085</c:v>
                </c:pt>
                <c:pt idx="72">
                  <c:v>2.0117818305481068</c:v>
                </c:pt>
                <c:pt idx="73">
                  <c:v>2.8061799739838871</c:v>
                </c:pt>
                <c:pt idx="75">
                  <c:v>3.012837224705172</c:v>
                </c:pt>
                <c:pt idx="76">
                  <c:v>1.8112954393662359</c:v>
                </c:pt>
                <c:pt idx="77">
                  <c:v>2.0183342723191986</c:v>
                </c:pt>
                <c:pt idx="78">
                  <c:v>2.3671694885346808</c:v>
                </c:pt>
                <c:pt idx="79">
                  <c:v>2.5498611884719429</c:v>
                </c:pt>
                <c:pt idx="80">
                  <c:v>1.8068580295188175</c:v>
                </c:pt>
                <c:pt idx="81">
                  <c:v>2.0081741840064264</c:v>
                </c:pt>
                <c:pt idx="82">
                  <c:v>2.4802944600030066</c:v>
                </c:pt>
                <c:pt idx="83">
                  <c:v>1.6541765418779606</c:v>
                </c:pt>
                <c:pt idx="84">
                  <c:v>2.3340514403468919</c:v>
                </c:pt>
                <c:pt idx="85">
                  <c:v>2.2430380486862944</c:v>
                </c:pt>
                <c:pt idx="88">
                  <c:v>0.93449845124356767</c:v>
                </c:pt>
                <c:pt idx="92">
                  <c:v>1.209515014542631</c:v>
                </c:pt>
                <c:pt idx="95">
                  <c:v>2.12057393120585</c:v>
                </c:pt>
              </c:numCache>
            </c:numRef>
          </c:xVal>
          <c:yVal>
            <c:numRef>
              <c:f>'Poster Graphs'!$L$2:$L$102</c:f>
              <c:numCache>
                <c:formatCode>General</c:formatCode>
                <c:ptCount val="101"/>
                <c:pt idx="36">
                  <c:v>4.8118764945893329</c:v>
                </c:pt>
                <c:pt idx="37">
                  <c:v>2.8747716371842982</c:v>
                </c:pt>
                <c:pt idx="38">
                  <c:v>2.1461280356782382</c:v>
                </c:pt>
                <c:pt idx="39">
                  <c:v>2.9395192526186187</c:v>
                </c:pt>
                <c:pt idx="49">
                  <c:v>3.3744678881490628</c:v>
                </c:pt>
                <c:pt idx="59">
                  <c:v>1.2212837994926862</c:v>
                </c:pt>
                <c:pt idx="72">
                  <c:v>2.453165392525857</c:v>
                </c:pt>
                <c:pt idx="73">
                  <c:v>3.12057393120585</c:v>
                </c:pt>
                <c:pt idx="75">
                  <c:v>3.3263358609287512</c:v>
                </c:pt>
                <c:pt idx="76">
                  <c:v>2.2523675144598987</c:v>
                </c:pt>
                <c:pt idx="77">
                  <c:v>1.7766067618808743</c:v>
                </c:pt>
                <c:pt idx="78">
                  <c:v>3.553640336231354</c:v>
                </c:pt>
                <c:pt idx="79">
                  <c:v>2.7359978840917938</c:v>
                </c:pt>
                <c:pt idx="80">
                  <c:v>2.823800153749878</c:v>
                </c:pt>
                <c:pt idx="81">
                  <c:v>2.2422929049829308</c:v>
                </c:pt>
                <c:pt idx="82">
                  <c:v>3.2099972960823688</c:v>
                </c:pt>
                <c:pt idx="83">
                  <c:v>2.3279716236230108</c:v>
                </c:pt>
                <c:pt idx="84">
                  <c:v>2.8355637516690968</c:v>
                </c:pt>
                <c:pt idx="85">
                  <c:v>3.4269664626300749</c:v>
                </c:pt>
                <c:pt idx="88">
                  <c:v>1.4345689040341987</c:v>
                </c:pt>
                <c:pt idx="92">
                  <c:v>1.3996737214810382</c:v>
                </c:pt>
                <c:pt idx="95">
                  <c:v>3.6451273992583912</c:v>
                </c:pt>
              </c:numCache>
            </c:numRef>
          </c:yVal>
          <c:smooth val="0"/>
          <c:extLst>
            <c:ext xmlns:c16="http://schemas.microsoft.com/office/drawing/2014/chart" uri="{C3380CC4-5D6E-409C-BE32-E72D297353CC}">
              <c16:uniqueId val="{00000002-D165-9042-AE25-2136AD00D831}"/>
            </c:ext>
          </c:extLst>
        </c:ser>
        <c:dLbls>
          <c:showLegendKey val="0"/>
          <c:showVal val="0"/>
          <c:showCatName val="0"/>
          <c:showSerName val="0"/>
          <c:showPercent val="0"/>
          <c:showBubbleSize val="0"/>
        </c:dLbls>
        <c:axId val="1580630000"/>
        <c:axId val="1580717024"/>
      </c:scatterChart>
      <c:valAx>
        <c:axId val="1580630000"/>
        <c:scaling>
          <c:orientation val="minMax"/>
        </c:scaling>
        <c:delete val="0"/>
        <c:axPos val="b"/>
        <c:title>
          <c:tx>
            <c:rich>
              <a:bodyPr rot="0" spcFirstLastPara="1" vertOverflow="ellipsis" vert="horz" wrap="square" anchor="ctr" anchorCtr="1"/>
              <a:lstStyle/>
              <a:p>
                <a:pPr>
                  <a:defRPr sz="4000" b="0" i="0" u="none" strike="noStrike" kern="1200" baseline="0">
                    <a:solidFill>
                      <a:schemeClr val="tx1"/>
                    </a:solidFill>
                    <a:latin typeface="PT Sans" panose="020B0503020203020204" pitchFamily="34" charset="77"/>
                    <a:ea typeface="+mn-ea"/>
                    <a:cs typeface="+mn-cs"/>
                  </a:defRPr>
                </a:pPr>
                <a:r>
                  <a:rPr lang="en-US" sz="4000">
                    <a:solidFill>
                      <a:schemeClr val="tx1"/>
                    </a:solidFill>
                    <a:latin typeface="PT Sans" panose="020B0503020203020204" pitchFamily="34" charset="77"/>
                  </a:rPr>
                  <a:t>log</a:t>
                </a:r>
                <a:r>
                  <a:rPr lang="en-US" sz="4000" baseline="0">
                    <a:solidFill>
                      <a:schemeClr val="tx1"/>
                    </a:solidFill>
                    <a:latin typeface="PT Sans" panose="020B0503020203020204" pitchFamily="34" charset="77"/>
                  </a:rPr>
                  <a:t> [baseline fecal GC] (ng/g)</a:t>
                </a:r>
                <a:endParaRPr lang="en-US" sz="4000">
                  <a:solidFill>
                    <a:schemeClr val="tx1"/>
                  </a:solidFill>
                  <a:latin typeface="PT Sans" panose="020B0503020203020204" pitchFamily="34" charset="77"/>
                </a:endParaRPr>
              </a:p>
            </c:rich>
          </c:tx>
          <c:layout>
            <c:manualLayout>
              <c:xMode val="edge"/>
              <c:yMode val="edge"/>
              <c:x val="0.26905758009014086"/>
              <c:y val="0.89559283366213771"/>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solidFill>
                  <a:latin typeface="PT Sans" panose="020B0503020203020204" pitchFamily="34" charset="77"/>
                  <a:ea typeface="+mn-ea"/>
                  <a:cs typeface="+mn-cs"/>
                </a:defRPr>
              </a:pPr>
              <a:endParaRPr lang="en-US"/>
            </a:p>
          </c:txPr>
        </c:title>
        <c:numFmt formatCode="General" sourceLinked="1"/>
        <c:majorTickMark val="none"/>
        <c:minorTickMark val="none"/>
        <c:tickLblPos val="nextTo"/>
        <c:spPr>
          <a:noFill/>
          <a:ln w="38100" cap="flat" cmpd="sng" algn="ctr">
            <a:solidFill>
              <a:schemeClr val="tx1"/>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580717024"/>
        <c:crosses val="autoZero"/>
        <c:crossBetween val="midCat"/>
        <c:majorUnit val="1"/>
      </c:valAx>
      <c:valAx>
        <c:axId val="1580717024"/>
        <c:scaling>
          <c:orientation val="minMax"/>
        </c:scaling>
        <c:delete val="0"/>
        <c:axPos val="l"/>
        <c:title>
          <c:tx>
            <c:rich>
              <a:bodyPr rot="-5400000" spcFirstLastPara="1" vertOverflow="ellipsis" vert="horz" wrap="square" anchor="ctr" anchorCtr="1"/>
              <a:lstStyle/>
              <a:p>
                <a:pPr>
                  <a:defRPr sz="4000" b="0" i="0" u="none" strike="noStrike" kern="1200" baseline="0">
                    <a:solidFill>
                      <a:schemeClr val="tx1"/>
                    </a:solidFill>
                    <a:latin typeface="PT Sans" panose="020B0503020203020204" pitchFamily="34" charset="77"/>
                    <a:ea typeface="+mn-ea"/>
                    <a:cs typeface="+mn-cs"/>
                  </a:defRPr>
                </a:pPr>
                <a:r>
                  <a:rPr lang="en-US" sz="4000">
                    <a:solidFill>
                      <a:schemeClr val="tx1"/>
                    </a:solidFill>
                    <a:latin typeface="PT Sans" panose="020B0503020203020204" pitchFamily="34" charset="77"/>
                  </a:rPr>
                  <a:t>log</a:t>
                </a:r>
                <a:r>
                  <a:rPr lang="en-US" sz="4000" baseline="0">
                    <a:solidFill>
                      <a:schemeClr val="tx1"/>
                    </a:solidFill>
                    <a:latin typeface="PT Sans" panose="020B0503020203020204" pitchFamily="34" charset="77"/>
                  </a:rPr>
                  <a:t> [elevated fecal GC] (ng/g)</a:t>
                </a:r>
                <a:endParaRPr lang="en-US" sz="4000">
                  <a:solidFill>
                    <a:schemeClr val="tx1"/>
                  </a:solidFill>
                  <a:latin typeface="PT Sans" panose="020B0503020203020204" pitchFamily="34" charset="77"/>
                </a:endParaRPr>
              </a:p>
            </c:rich>
          </c:tx>
          <c:layout>
            <c:manualLayout>
              <c:xMode val="edge"/>
              <c:yMode val="edge"/>
              <c:x val="1.254947328985017E-2"/>
              <c:y val="0.11855447884976777"/>
            </c:manualLayout>
          </c:layout>
          <c:overlay val="0"/>
          <c:spPr>
            <a:noFill/>
            <a:ln>
              <a:noFill/>
            </a:ln>
            <a:effectLst/>
          </c:spPr>
          <c:txPr>
            <a:bodyPr rot="-5400000" spcFirstLastPara="1" vertOverflow="ellipsis" vert="horz" wrap="square" anchor="ctr" anchorCtr="1"/>
            <a:lstStyle/>
            <a:p>
              <a:pPr>
                <a:defRPr sz="4000" b="0" i="0" u="none" strike="noStrike" kern="1200" baseline="0">
                  <a:solidFill>
                    <a:schemeClr val="tx1"/>
                  </a:solidFill>
                  <a:latin typeface="PT Sans" panose="020B0503020203020204" pitchFamily="34" charset="77"/>
                  <a:ea typeface="+mn-ea"/>
                  <a:cs typeface="+mn-cs"/>
                </a:defRPr>
              </a:pPr>
              <a:endParaRPr lang="en-US"/>
            </a:p>
          </c:txPr>
        </c:title>
        <c:numFmt formatCode="General" sourceLinked="1"/>
        <c:majorTickMark val="none"/>
        <c:minorTickMark val="none"/>
        <c:tickLblPos val="nextTo"/>
        <c:spPr>
          <a:noFill/>
          <a:ln w="38100" cap="flat" cmpd="sng" algn="ctr">
            <a:solidFill>
              <a:schemeClr val="tx1"/>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580630000"/>
        <c:crossesAt val="-1"/>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logged</a:t>
            </a:r>
            <a:r>
              <a:rPr lang="en-US" baseline="0"/>
              <a:t> values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6944444444444444E-3"/>
                  <c:y val="-0.3615226742490522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'Poster Graphs'!$G$2:$G$102</c:f>
              <c:numCache>
                <c:formatCode>General</c:formatCode>
                <c:ptCount val="101"/>
                <c:pt idx="0">
                  <c:v>3.8450980400142569</c:v>
                </c:pt>
                <c:pt idx="1">
                  <c:v>5.8750612633917001</c:v>
                </c:pt>
                <c:pt idx="2">
                  <c:v>5.8750612633917001</c:v>
                </c:pt>
                <c:pt idx="3">
                  <c:v>4.7853298350107671</c:v>
                </c:pt>
                <c:pt idx="4">
                  <c:v>3.2041199826559246</c:v>
                </c:pt>
                <c:pt idx="5">
                  <c:v>5.2161659022859928</c:v>
                </c:pt>
                <c:pt idx="6">
                  <c:v>5.3324384599156049</c:v>
                </c:pt>
                <c:pt idx="7">
                  <c:v>4.3357987833253659</c:v>
                </c:pt>
                <c:pt idx="8">
                  <c:v>2.8621313793130372</c:v>
                </c:pt>
                <c:pt idx="9">
                  <c:v>3.4220971631317103</c:v>
                </c:pt>
                <c:pt idx="10">
                  <c:v>3.7585334222372864</c:v>
                </c:pt>
                <c:pt idx="11">
                  <c:v>1.8115750058705933</c:v>
                </c:pt>
                <c:pt idx="12">
                  <c:v>4.7853298350107671</c:v>
                </c:pt>
                <c:pt idx="13">
                  <c:v>3.6206564798196208</c:v>
                </c:pt>
                <c:pt idx="14">
                  <c:v>2.0211892990699383</c:v>
                </c:pt>
                <c:pt idx="15">
                  <c:v>5.2161659022859928</c:v>
                </c:pt>
                <c:pt idx="16">
                  <c:v>3.8129133566428557</c:v>
                </c:pt>
                <c:pt idx="17">
                  <c:v>4.2304489213782741</c:v>
                </c:pt>
                <c:pt idx="18">
                  <c:v>5.0107238653917729</c:v>
                </c:pt>
                <c:pt idx="19">
                  <c:v>1.6551384348113822</c:v>
                </c:pt>
                <c:pt idx="20">
                  <c:v>3.6532125137753435</c:v>
                </c:pt>
                <c:pt idx="21">
                  <c:v>2.6159500516564012</c:v>
                </c:pt>
                <c:pt idx="23">
                  <c:v>5.3324384599156049</c:v>
                </c:pt>
                <c:pt idx="24">
                  <c:v>5.3324384599156049</c:v>
                </c:pt>
                <c:pt idx="25">
                  <c:v>3.4220971631317103</c:v>
                </c:pt>
                <c:pt idx="26">
                  <c:v>3.7585334222372864</c:v>
                </c:pt>
                <c:pt idx="27">
                  <c:v>3.6989700043360187</c:v>
                </c:pt>
                <c:pt idx="28">
                  <c:v>5.1456376265514301</c:v>
                </c:pt>
                <c:pt idx="29">
                  <c:v>1.8115750058705933</c:v>
                </c:pt>
                <c:pt idx="30">
                  <c:v>3.4220971631317103</c:v>
                </c:pt>
                <c:pt idx="31">
                  <c:v>3.7585334222372864</c:v>
                </c:pt>
                <c:pt idx="32">
                  <c:v>3.6989700043360187</c:v>
                </c:pt>
                <c:pt idx="33">
                  <c:v>5.1456376265514301</c:v>
                </c:pt>
                <c:pt idx="34">
                  <c:v>1.8115750058705933</c:v>
                </c:pt>
                <c:pt idx="35">
                  <c:v>3.6989700043360187</c:v>
                </c:pt>
                <c:pt idx="36">
                  <c:v>3.4220971631317103</c:v>
                </c:pt>
                <c:pt idx="37">
                  <c:v>3.7585334222372864</c:v>
                </c:pt>
                <c:pt idx="38">
                  <c:v>5.1456376265514301</c:v>
                </c:pt>
                <c:pt idx="39">
                  <c:v>1.8115750058705933</c:v>
                </c:pt>
                <c:pt idx="40">
                  <c:v>5.078094150406411</c:v>
                </c:pt>
                <c:pt idx="41">
                  <c:v>5.078094150406411</c:v>
                </c:pt>
                <c:pt idx="42">
                  <c:v>3.1760912590556813</c:v>
                </c:pt>
                <c:pt idx="43">
                  <c:v>4.0273496077747568</c:v>
                </c:pt>
                <c:pt idx="44">
                  <c:v>6.2047519639454238</c:v>
                </c:pt>
                <c:pt idx="45">
                  <c:v>4.3053513694466234</c:v>
                </c:pt>
                <c:pt idx="46">
                  <c:v>1.319522449065454</c:v>
                </c:pt>
                <c:pt idx="47">
                  <c:v>1.4771212547196624</c:v>
                </c:pt>
                <c:pt idx="48">
                  <c:v>1.568201724066995</c:v>
                </c:pt>
                <c:pt idx="49">
                  <c:v>1.3222192947339193</c:v>
                </c:pt>
                <c:pt idx="50">
                  <c:v>6.5021538928713607</c:v>
                </c:pt>
                <c:pt idx="51">
                  <c:v>6.5021538928713607</c:v>
                </c:pt>
                <c:pt idx="52">
                  <c:v>3.6206564798196208</c:v>
                </c:pt>
                <c:pt idx="53">
                  <c:v>3.716003343634799</c:v>
                </c:pt>
                <c:pt idx="54">
                  <c:v>5.2161659022859928</c:v>
                </c:pt>
                <c:pt idx="55">
                  <c:v>5.3324384599156049</c:v>
                </c:pt>
                <c:pt idx="56">
                  <c:v>3.6161603128475828</c:v>
                </c:pt>
                <c:pt idx="57">
                  <c:v>1.6551384348113822</c:v>
                </c:pt>
                <c:pt idx="58">
                  <c:v>2.6154239528859438</c:v>
                </c:pt>
                <c:pt idx="59">
                  <c:v>5.3010299956639813</c:v>
                </c:pt>
                <c:pt idx="60">
                  <c:v>4.0773679052841567</c:v>
                </c:pt>
                <c:pt idx="61">
                  <c:v>5.3010299956639813</c:v>
                </c:pt>
                <c:pt idx="62">
                  <c:v>4.9395192526186182</c:v>
                </c:pt>
                <c:pt idx="63">
                  <c:v>4.4232458739368079</c:v>
                </c:pt>
                <c:pt idx="64">
                  <c:v>4.2405492482825995</c:v>
                </c:pt>
                <c:pt idx="65">
                  <c:v>6.0413926851582254</c:v>
                </c:pt>
                <c:pt idx="66">
                  <c:v>3.1139433523068369</c:v>
                </c:pt>
                <c:pt idx="67">
                  <c:v>5.8450980400142569</c:v>
                </c:pt>
                <c:pt idx="68">
                  <c:v>4.9092885241622506</c:v>
                </c:pt>
                <c:pt idx="69">
                  <c:v>4.7993405494535821</c:v>
                </c:pt>
                <c:pt idx="70">
                  <c:v>6.5954999695282837</c:v>
                </c:pt>
                <c:pt idx="71">
                  <c:v>3.4471580313422194</c:v>
                </c:pt>
                <c:pt idx="72">
                  <c:v>5.3324384599156049</c:v>
                </c:pt>
                <c:pt idx="73">
                  <c:v>5.2161659022859928</c:v>
                </c:pt>
                <c:pt idx="74">
                  <c:v>5.1456376265514301</c:v>
                </c:pt>
                <c:pt idx="75">
                  <c:v>3.1245042248342823</c:v>
                </c:pt>
                <c:pt idx="76">
                  <c:v>5.9030899869919438</c:v>
                </c:pt>
                <c:pt idx="77">
                  <c:v>5.4983105537896009</c:v>
                </c:pt>
                <c:pt idx="78">
                  <c:v>4.584852291227592</c:v>
                </c:pt>
                <c:pt idx="79">
                  <c:v>3.5910646070264991</c:v>
                </c:pt>
                <c:pt idx="80">
                  <c:v>5</c:v>
                </c:pt>
                <c:pt idx="81">
                  <c:v>3.0090257420869104</c:v>
                </c:pt>
                <c:pt idx="82">
                  <c:v>4.2900346113625183</c:v>
                </c:pt>
                <c:pt idx="83">
                  <c:v>5.01598810538413</c:v>
                </c:pt>
                <c:pt idx="84">
                  <c:v>4.3614104963100209</c:v>
                </c:pt>
                <c:pt idx="85">
                  <c:v>2.8898617212581885</c:v>
                </c:pt>
                <c:pt idx="86">
                  <c:v>4.0791812460476251</c:v>
                </c:pt>
                <c:pt idx="87">
                  <c:v>5.0700378666077555</c:v>
                </c:pt>
                <c:pt idx="88">
                  <c:v>6.3374592612906557</c:v>
                </c:pt>
                <c:pt idx="89">
                  <c:v>4.2552725051033065</c:v>
                </c:pt>
                <c:pt idx="90">
                  <c:v>4.653212513775344</c:v>
                </c:pt>
                <c:pt idx="91">
                  <c:v>5.6482624057480448</c:v>
                </c:pt>
                <c:pt idx="92">
                  <c:v>5.5843312243675305</c:v>
                </c:pt>
                <c:pt idx="93">
                  <c:v>4.6627578316815743</c:v>
                </c:pt>
                <c:pt idx="94">
                  <c:v>4.6334684555795862</c:v>
                </c:pt>
                <c:pt idx="95">
                  <c:v>3.5440680443502757</c:v>
                </c:pt>
                <c:pt idx="96">
                  <c:v>2.3710678622717363</c:v>
                </c:pt>
                <c:pt idx="97">
                  <c:v>5.249198357391113</c:v>
                </c:pt>
                <c:pt idx="98">
                  <c:v>5.0053950318867058</c:v>
                </c:pt>
                <c:pt idx="99">
                  <c:v>5.0053950318867058</c:v>
                </c:pt>
                <c:pt idx="100">
                  <c:v>5.4432629874586951</c:v>
                </c:pt>
              </c:numCache>
            </c:numRef>
          </c:xVal>
          <c:yVal>
            <c:numRef>
              <c:f>'Poster Graphs'!$I$2:$I$102</c:f>
              <c:numCache>
                <c:formatCode>General</c:formatCode>
                <c:ptCount val="101"/>
                <c:pt idx="1">
                  <c:v>1.3138672203691535</c:v>
                </c:pt>
                <c:pt idx="4">
                  <c:v>3.022840610876528</c:v>
                </c:pt>
                <c:pt idx="7">
                  <c:v>1.7847598946640051</c:v>
                </c:pt>
                <c:pt idx="8">
                  <c:v>2.5431115439534384</c:v>
                </c:pt>
                <c:pt idx="9">
                  <c:v>3.8954225460394079</c:v>
                </c:pt>
                <c:pt idx="10">
                  <c:v>1.550228353055094</c:v>
                </c:pt>
                <c:pt idx="11">
                  <c:v>2.6232492903979003</c:v>
                </c:pt>
                <c:pt idx="20">
                  <c:v>3.4191293077419758</c:v>
                </c:pt>
                <c:pt idx="35">
                  <c:v>1.3222192947339193</c:v>
                </c:pt>
                <c:pt idx="42">
                  <c:v>2.8076026699164944</c:v>
                </c:pt>
                <c:pt idx="44">
                  <c:v>0.9849771264154934</c:v>
                </c:pt>
                <c:pt idx="50">
                  <c:v>1.6958632676583771</c:v>
                </c:pt>
                <c:pt idx="58">
                  <c:v>2.4200052849590512</c:v>
                </c:pt>
                <c:pt idx="59">
                  <c:v>-0.13757044389399103</c:v>
                </c:pt>
                <c:pt idx="60">
                  <c:v>1.7118493915073085</c:v>
                </c:pt>
                <c:pt idx="65">
                  <c:v>1.65349230229706</c:v>
                </c:pt>
                <c:pt idx="66">
                  <c:v>1.4096457517702048</c:v>
                </c:pt>
                <c:pt idx="68">
                  <c:v>2.4882686154954601</c:v>
                </c:pt>
                <c:pt idx="69">
                  <c:v>1.6409780573583321</c:v>
                </c:pt>
                <c:pt idx="71">
                  <c:v>0.64097805735833202</c:v>
                </c:pt>
                <c:pt idx="72">
                  <c:v>0.79934054945358168</c:v>
                </c:pt>
                <c:pt idx="73">
                  <c:v>1.4771212547196624</c:v>
                </c:pt>
                <c:pt idx="74">
                  <c:v>1.3010299956639813</c:v>
                </c:pt>
                <c:pt idx="75">
                  <c:v>1.7664128471123994</c:v>
                </c:pt>
                <c:pt idx="76">
                  <c:v>1.3752062210993303</c:v>
                </c:pt>
                <c:pt idx="77">
                  <c:v>1.8070070597740877</c:v>
                </c:pt>
                <c:pt idx="78">
                  <c:v>2.7913397039651393</c:v>
                </c:pt>
                <c:pt idx="79">
                  <c:v>2.3296012483565187</c:v>
                </c:pt>
                <c:pt idx="80">
                  <c:v>1.6875289612146342</c:v>
                </c:pt>
                <c:pt idx="81">
                  <c:v>2.230704313612569</c:v>
                </c:pt>
                <c:pt idx="82">
                  <c:v>2.3958503760187813</c:v>
                </c:pt>
                <c:pt idx="83">
                  <c:v>1.9068735347220704</c:v>
                </c:pt>
                <c:pt idx="84">
                  <c:v>2.4949195032388221</c:v>
                </c:pt>
                <c:pt idx="85">
                  <c:v>2.0421815945157662</c:v>
                </c:pt>
                <c:pt idx="86">
                  <c:v>1.6771349941689668</c:v>
                </c:pt>
                <c:pt idx="87">
                  <c:v>2.0594119374386564</c:v>
                </c:pt>
                <c:pt idx="88">
                  <c:v>0.61278385671973545</c:v>
                </c:pt>
                <c:pt idx="89">
                  <c:v>1.801403710017355</c:v>
                </c:pt>
                <c:pt idx="90">
                  <c:v>0.50514997831990605</c:v>
                </c:pt>
                <c:pt idx="93">
                  <c:v>1.9886570410646158</c:v>
                </c:pt>
                <c:pt idx="94">
                  <c:v>1.6577154028688956</c:v>
                </c:pt>
                <c:pt idx="96">
                  <c:v>2.1417569633549314</c:v>
                </c:pt>
                <c:pt idx="97">
                  <c:v>1.9193030300505234</c:v>
                </c:pt>
                <c:pt idx="100">
                  <c:v>1.2797353674105019</c:v>
                </c:pt>
              </c:numCache>
            </c:numRef>
          </c:yVal>
          <c:smooth val="0"/>
          <c:extLst>
            <c:ext xmlns:c16="http://schemas.microsoft.com/office/drawing/2014/chart" uri="{C3380CC4-5D6E-409C-BE32-E72D297353CC}">
              <c16:uniqueId val="{00000000-A7BF-A543-A2E8-711A61257285}"/>
            </c:ext>
          </c:extLst>
        </c:ser>
        <c:dLbls>
          <c:showLegendKey val="0"/>
          <c:showVal val="0"/>
          <c:showCatName val="0"/>
          <c:showSerName val="0"/>
          <c:showPercent val="0"/>
          <c:showBubbleSize val="0"/>
        </c:dLbls>
        <c:axId val="359896432"/>
        <c:axId val="353906000"/>
      </c:scatterChart>
      <c:valAx>
        <c:axId val="359896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906000"/>
        <c:crosses val="autoZero"/>
        <c:crossBetween val="midCat"/>
      </c:valAx>
      <c:valAx>
        <c:axId val="35390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8964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not</a:t>
            </a:r>
            <a:r>
              <a:rPr lang="en-US" baseline="0"/>
              <a:t> logged first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2.5364173228346457E-2"/>
                  <c:y val="-0.2307024642752989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'Poster Graphs'!$U$2:$U$45</c:f>
              <c:numCache>
                <c:formatCode>#,##0</c:formatCode>
                <c:ptCount val="44"/>
                <c:pt idx="0">
                  <c:v>200000</c:v>
                </c:pt>
                <c:pt idx="1">
                  <c:v>45000</c:v>
                </c:pt>
                <c:pt idx="2">
                  <c:v>2175000</c:v>
                </c:pt>
                <c:pt idx="3" formatCode="General">
                  <c:v>2800</c:v>
                </c:pt>
                <c:pt idx="4">
                  <c:v>215000</c:v>
                </c:pt>
                <c:pt idx="5">
                  <c:v>1602330</c:v>
                </c:pt>
                <c:pt idx="6">
                  <c:v>277500</c:v>
                </c:pt>
                <c:pt idx="7">
                  <c:v>139842</c:v>
                </c:pt>
                <c:pt idx="8">
                  <c:v>750000</c:v>
                </c:pt>
                <c:pt idx="9">
                  <c:v>5000</c:v>
                </c:pt>
                <c:pt idx="10">
                  <c:v>800000</c:v>
                </c:pt>
                <c:pt idx="11">
                  <c:v>1300</c:v>
                </c:pt>
                <c:pt idx="12">
                  <c:v>164500</c:v>
                </c:pt>
                <c:pt idx="13">
                  <c:v>5735</c:v>
                </c:pt>
                <c:pt idx="14">
                  <c:v>63000</c:v>
                </c:pt>
                <c:pt idx="15">
                  <c:v>1100000</c:v>
                </c:pt>
                <c:pt idx="16">
                  <c:v>43000</c:v>
                </c:pt>
                <c:pt idx="17">
                  <c:v>12000</c:v>
                </c:pt>
                <c:pt idx="18">
                  <c:v>100000</c:v>
                </c:pt>
                <c:pt idx="19">
                  <c:v>3178000</c:v>
                </c:pt>
                <c:pt idx="20" formatCode="General">
                  <c:v>11950</c:v>
                </c:pt>
                <c:pt idx="21">
                  <c:v>1332</c:v>
                </c:pt>
                <c:pt idx="22">
                  <c:v>21667</c:v>
                </c:pt>
                <c:pt idx="23">
                  <c:v>18000</c:v>
                </c:pt>
                <c:pt idx="24">
                  <c:v>315000</c:v>
                </c:pt>
                <c:pt idx="25">
                  <c:v>103750</c:v>
                </c:pt>
                <c:pt idx="26">
                  <c:v>177500</c:v>
                </c:pt>
                <c:pt idx="27">
                  <c:v>46000</c:v>
                </c:pt>
                <c:pt idx="28">
                  <c:v>776</c:v>
                </c:pt>
                <c:pt idx="29">
                  <c:v>117500</c:v>
                </c:pt>
                <c:pt idx="30" formatCode="General">
                  <c:v>235</c:v>
                </c:pt>
                <c:pt idx="31">
                  <c:v>1021</c:v>
                </c:pt>
                <c:pt idx="32">
                  <c:v>3900</c:v>
                </c:pt>
                <c:pt idx="33">
                  <c:v>19500</c:v>
                </c:pt>
                <c:pt idx="34" formatCode="General">
                  <c:v>412.5</c:v>
                </c:pt>
                <c:pt idx="35">
                  <c:v>81150</c:v>
                </c:pt>
                <c:pt idx="36" formatCode="General">
                  <c:v>22983.200000000001</c:v>
                </c:pt>
                <c:pt idx="37" formatCode="General">
                  <c:v>728</c:v>
                </c:pt>
                <c:pt idx="38" formatCode="General">
                  <c:v>64.8</c:v>
                </c:pt>
                <c:pt idx="39" formatCode="#,##0.00">
                  <c:v>38446.1</c:v>
                </c:pt>
                <c:pt idx="40">
                  <c:v>1500</c:v>
                </c:pt>
                <c:pt idx="41">
                  <c:v>1600</c:v>
                </c:pt>
                <c:pt idx="42">
                  <c:v>4500</c:v>
                </c:pt>
                <c:pt idx="43">
                  <c:v>2643</c:v>
                </c:pt>
              </c:numCache>
            </c:numRef>
          </c:xVal>
          <c:yVal>
            <c:numRef>
              <c:f>'Poster Graphs'!$V$2:$V$45</c:f>
              <c:numCache>
                <c:formatCode>General</c:formatCode>
                <c:ptCount val="44"/>
                <c:pt idx="0">
                  <c:v>0.72850000000000004</c:v>
                </c:pt>
                <c:pt idx="1">
                  <c:v>3.2</c:v>
                </c:pt>
                <c:pt idx="2">
                  <c:v>4.0999999999999996</c:v>
                </c:pt>
                <c:pt idx="3">
                  <c:v>4.375</c:v>
                </c:pt>
                <c:pt idx="4">
                  <c:v>6.3</c:v>
                </c:pt>
                <c:pt idx="5">
                  <c:v>9.66</c:v>
                </c:pt>
                <c:pt idx="6">
                  <c:v>19.042999999999999</c:v>
                </c:pt>
                <c:pt idx="7">
                  <c:v>20</c:v>
                </c:pt>
                <c:pt idx="8">
                  <c:v>20.6</c:v>
                </c:pt>
                <c:pt idx="9">
                  <c:v>21</c:v>
                </c:pt>
                <c:pt idx="10">
                  <c:v>23.725000000000001</c:v>
                </c:pt>
                <c:pt idx="11">
                  <c:v>25.683</c:v>
                </c:pt>
                <c:pt idx="12">
                  <c:v>30</c:v>
                </c:pt>
                <c:pt idx="13">
                  <c:v>35.5</c:v>
                </c:pt>
                <c:pt idx="14">
                  <c:v>43.75</c:v>
                </c:pt>
                <c:pt idx="15">
                  <c:v>45.029000000000003</c:v>
                </c:pt>
                <c:pt idx="16">
                  <c:v>45.469000000000001</c:v>
                </c:pt>
                <c:pt idx="17">
                  <c:v>47.548299999999998</c:v>
                </c:pt>
                <c:pt idx="18">
                  <c:v>48.7</c:v>
                </c:pt>
                <c:pt idx="19">
                  <c:v>49.643599999999999</c:v>
                </c:pt>
                <c:pt idx="20">
                  <c:v>51.505000000000003</c:v>
                </c:pt>
                <c:pt idx="21">
                  <c:v>58.4</c:v>
                </c:pt>
                <c:pt idx="22">
                  <c:v>60.92</c:v>
                </c:pt>
                <c:pt idx="23">
                  <c:v>63.3</c:v>
                </c:pt>
                <c:pt idx="24">
                  <c:v>64.122</c:v>
                </c:pt>
                <c:pt idx="25">
                  <c:v>80.7</c:v>
                </c:pt>
                <c:pt idx="26">
                  <c:v>83.043000000000006</c:v>
                </c:pt>
                <c:pt idx="27">
                  <c:v>97.421999999999997</c:v>
                </c:pt>
                <c:pt idx="28">
                  <c:v>110.2</c:v>
                </c:pt>
                <c:pt idx="29">
                  <c:v>114.66</c:v>
                </c:pt>
                <c:pt idx="30">
                  <c:v>138.59800000000001</c:v>
                </c:pt>
                <c:pt idx="31">
                  <c:v>170.1</c:v>
                </c:pt>
                <c:pt idx="32">
                  <c:v>213.6</c:v>
                </c:pt>
                <c:pt idx="33">
                  <c:v>248.8</c:v>
                </c:pt>
                <c:pt idx="34">
                  <c:v>263.02999999999997</c:v>
                </c:pt>
                <c:pt idx="35">
                  <c:v>307.8</c:v>
                </c:pt>
                <c:pt idx="36">
                  <c:v>312.55</c:v>
                </c:pt>
                <c:pt idx="37">
                  <c:v>349.23</c:v>
                </c:pt>
                <c:pt idx="38">
                  <c:v>420</c:v>
                </c:pt>
                <c:pt idx="39">
                  <c:v>618.5</c:v>
                </c:pt>
                <c:pt idx="40">
                  <c:v>642.1</c:v>
                </c:pt>
                <c:pt idx="41">
                  <c:v>1054</c:v>
                </c:pt>
                <c:pt idx="42">
                  <c:v>2625</c:v>
                </c:pt>
                <c:pt idx="43">
                  <c:v>7860</c:v>
                </c:pt>
              </c:numCache>
            </c:numRef>
          </c:yVal>
          <c:smooth val="0"/>
          <c:extLst>
            <c:ext xmlns:c16="http://schemas.microsoft.com/office/drawing/2014/chart" uri="{C3380CC4-5D6E-409C-BE32-E72D297353CC}">
              <c16:uniqueId val="{00000000-5E88-664C-90DD-FE45E0D47AC0}"/>
            </c:ext>
          </c:extLst>
        </c:ser>
        <c:dLbls>
          <c:showLegendKey val="0"/>
          <c:showVal val="0"/>
          <c:showCatName val="0"/>
          <c:showSerName val="0"/>
          <c:showPercent val="0"/>
          <c:showBubbleSize val="0"/>
        </c:dLbls>
        <c:axId val="279855744"/>
        <c:axId val="356046816"/>
      </c:scatterChart>
      <c:valAx>
        <c:axId val="279855744"/>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046816"/>
        <c:crosses val="autoZero"/>
        <c:crossBetween val="midCat"/>
      </c:valAx>
      <c:valAx>
        <c:axId val="356046816"/>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8557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Body</a:t>
            </a:r>
            <a:r>
              <a:rPr lang="en-US" baseline="0"/>
              <a:t> Mass vs. Basal Cortisol Concentrations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3.0762927625148855E-2"/>
                  <c:y val="-0.32836751862726515"/>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2000" baseline="0"/>
                      <a:t>y = 2034x</a:t>
                    </a:r>
                    <a:r>
                      <a:rPr lang="en-US" sz="2000" baseline="30000"/>
                      <a:t>-0.336</a:t>
                    </a:r>
                    <a:br>
                      <a:rPr lang="en-US" sz="2000" baseline="0"/>
                    </a:br>
                    <a:r>
                      <a:rPr lang="en-US" sz="2000" baseline="0"/>
                      <a:t>R² = 0.0195</a:t>
                    </a:r>
                    <a:endParaRPr lang="en-US" sz="20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Sheet'!$X$3:$X$102</c:f>
              <c:numCache>
                <c:formatCode>#,##0</c:formatCode>
                <c:ptCount val="100"/>
                <c:pt idx="0">
                  <c:v>7000</c:v>
                </c:pt>
                <c:pt idx="1">
                  <c:v>750000</c:v>
                </c:pt>
                <c:pt idx="2">
                  <c:v>750000</c:v>
                </c:pt>
                <c:pt idx="3">
                  <c:v>61000</c:v>
                </c:pt>
                <c:pt idx="4">
                  <c:v>1600</c:v>
                </c:pt>
                <c:pt idx="5">
                  <c:v>164500</c:v>
                </c:pt>
                <c:pt idx="6">
                  <c:v>215000</c:v>
                </c:pt>
                <c:pt idx="7">
                  <c:v>21667</c:v>
                </c:pt>
                <c:pt idx="8" formatCode="General">
                  <c:v>728</c:v>
                </c:pt>
                <c:pt idx="9">
                  <c:v>2643</c:v>
                </c:pt>
                <c:pt idx="10">
                  <c:v>5735</c:v>
                </c:pt>
                <c:pt idx="11" formatCode="General">
                  <c:v>64.8</c:v>
                </c:pt>
                <c:pt idx="12">
                  <c:v>61000</c:v>
                </c:pt>
                <c:pt idx="13">
                  <c:v>4175</c:v>
                </c:pt>
                <c:pt idx="14" formatCode="General">
                  <c:v>105</c:v>
                </c:pt>
                <c:pt idx="15">
                  <c:v>164500</c:v>
                </c:pt>
                <c:pt idx="16">
                  <c:v>6500</c:v>
                </c:pt>
                <c:pt idx="17">
                  <c:v>17000</c:v>
                </c:pt>
                <c:pt idx="18">
                  <c:v>102500</c:v>
                </c:pt>
                <c:pt idx="19">
                  <c:v>45.2</c:v>
                </c:pt>
                <c:pt idx="20">
                  <c:v>4500</c:v>
                </c:pt>
                <c:pt idx="21">
                  <c:v>413</c:v>
                </c:pt>
                <c:pt idx="22">
                  <c:v>215000</c:v>
                </c:pt>
                <c:pt idx="23">
                  <c:v>215000</c:v>
                </c:pt>
                <c:pt idx="24">
                  <c:v>2643</c:v>
                </c:pt>
                <c:pt idx="25">
                  <c:v>5735</c:v>
                </c:pt>
                <c:pt idx="26">
                  <c:v>5000</c:v>
                </c:pt>
                <c:pt idx="27">
                  <c:v>139842</c:v>
                </c:pt>
                <c:pt idx="28" formatCode="General">
                  <c:v>64.8</c:v>
                </c:pt>
                <c:pt idx="29">
                  <c:v>2643</c:v>
                </c:pt>
                <c:pt idx="30">
                  <c:v>5735</c:v>
                </c:pt>
                <c:pt idx="31">
                  <c:v>5000</c:v>
                </c:pt>
                <c:pt idx="32">
                  <c:v>139842</c:v>
                </c:pt>
                <c:pt idx="33" formatCode="General">
                  <c:v>64.8</c:v>
                </c:pt>
                <c:pt idx="34">
                  <c:v>5000</c:v>
                </c:pt>
                <c:pt idx="35">
                  <c:v>2643</c:v>
                </c:pt>
                <c:pt idx="36">
                  <c:v>5735</c:v>
                </c:pt>
                <c:pt idx="37">
                  <c:v>139842</c:v>
                </c:pt>
                <c:pt idx="38" formatCode="General">
                  <c:v>64.8</c:v>
                </c:pt>
                <c:pt idx="39">
                  <c:v>119700</c:v>
                </c:pt>
                <c:pt idx="40">
                  <c:v>119700</c:v>
                </c:pt>
                <c:pt idx="41">
                  <c:v>1500</c:v>
                </c:pt>
                <c:pt idx="42">
                  <c:v>10650</c:v>
                </c:pt>
                <c:pt idx="43">
                  <c:v>1602330</c:v>
                </c:pt>
                <c:pt idx="44">
                  <c:v>20200</c:v>
                </c:pt>
                <c:pt idx="45">
                  <c:v>20.87</c:v>
                </c:pt>
                <c:pt idx="46">
                  <c:v>30</c:v>
                </c:pt>
                <c:pt idx="47">
                  <c:v>37</c:v>
                </c:pt>
                <c:pt idx="48" formatCode="General">
                  <c:v>21</c:v>
                </c:pt>
                <c:pt idx="49">
                  <c:v>3178000</c:v>
                </c:pt>
                <c:pt idx="50">
                  <c:v>3178000</c:v>
                </c:pt>
                <c:pt idx="51">
                  <c:v>4175</c:v>
                </c:pt>
                <c:pt idx="52">
                  <c:v>5200</c:v>
                </c:pt>
                <c:pt idx="53">
                  <c:v>164500</c:v>
                </c:pt>
                <c:pt idx="54">
                  <c:v>215000</c:v>
                </c:pt>
                <c:pt idx="55">
                  <c:v>4132</c:v>
                </c:pt>
                <c:pt idx="56">
                  <c:v>45.2</c:v>
                </c:pt>
                <c:pt idx="57" formatCode="General">
                  <c:v>412.5</c:v>
                </c:pt>
                <c:pt idx="58">
                  <c:v>200000</c:v>
                </c:pt>
                <c:pt idx="59" formatCode="General">
                  <c:v>11950</c:v>
                </c:pt>
                <c:pt idx="60">
                  <c:v>200000</c:v>
                </c:pt>
                <c:pt idx="61">
                  <c:v>87000</c:v>
                </c:pt>
                <c:pt idx="62">
                  <c:v>26500</c:v>
                </c:pt>
                <c:pt idx="63">
                  <c:v>17400</c:v>
                </c:pt>
                <c:pt idx="64">
                  <c:v>1100000</c:v>
                </c:pt>
                <c:pt idx="65">
                  <c:v>1300</c:v>
                </c:pt>
                <c:pt idx="66">
                  <c:v>700000</c:v>
                </c:pt>
                <c:pt idx="67">
                  <c:v>81150</c:v>
                </c:pt>
                <c:pt idx="68">
                  <c:v>63000</c:v>
                </c:pt>
                <c:pt idx="69" formatCode="General">
                  <c:v>3940034</c:v>
                </c:pt>
                <c:pt idx="70" formatCode="General">
                  <c:v>2800</c:v>
                </c:pt>
                <c:pt idx="71">
                  <c:v>215000</c:v>
                </c:pt>
                <c:pt idx="72">
                  <c:v>164500</c:v>
                </c:pt>
                <c:pt idx="73">
                  <c:v>139842</c:v>
                </c:pt>
                <c:pt idx="74">
                  <c:v>1332</c:v>
                </c:pt>
                <c:pt idx="75">
                  <c:v>800000</c:v>
                </c:pt>
                <c:pt idx="76">
                  <c:v>315000</c:v>
                </c:pt>
                <c:pt idx="77" formatCode="#,##0.00">
                  <c:v>38446.1</c:v>
                </c:pt>
                <c:pt idx="78">
                  <c:v>3900</c:v>
                </c:pt>
                <c:pt idx="79">
                  <c:v>100000</c:v>
                </c:pt>
                <c:pt idx="80">
                  <c:v>1021</c:v>
                </c:pt>
                <c:pt idx="81">
                  <c:v>19500</c:v>
                </c:pt>
                <c:pt idx="82">
                  <c:v>103750</c:v>
                </c:pt>
                <c:pt idx="83" formatCode="General">
                  <c:v>22983.200000000001</c:v>
                </c:pt>
                <c:pt idx="84">
                  <c:v>776</c:v>
                </c:pt>
                <c:pt idx="85">
                  <c:v>12000</c:v>
                </c:pt>
                <c:pt idx="86">
                  <c:v>117500</c:v>
                </c:pt>
                <c:pt idx="87">
                  <c:v>2175000</c:v>
                </c:pt>
                <c:pt idx="88">
                  <c:v>18000</c:v>
                </c:pt>
                <c:pt idx="89">
                  <c:v>45000</c:v>
                </c:pt>
                <c:pt idx="90">
                  <c:v>444900</c:v>
                </c:pt>
                <c:pt idx="91">
                  <c:v>384000</c:v>
                </c:pt>
                <c:pt idx="92">
                  <c:v>46000</c:v>
                </c:pt>
                <c:pt idx="93">
                  <c:v>43000</c:v>
                </c:pt>
                <c:pt idx="94">
                  <c:v>3500</c:v>
                </c:pt>
                <c:pt idx="95" formatCode="General">
                  <c:v>235</c:v>
                </c:pt>
                <c:pt idx="96">
                  <c:v>177500</c:v>
                </c:pt>
                <c:pt idx="97">
                  <c:v>101250</c:v>
                </c:pt>
                <c:pt idx="98">
                  <c:v>101250</c:v>
                </c:pt>
                <c:pt idx="99">
                  <c:v>277500</c:v>
                </c:pt>
              </c:numCache>
            </c:numRef>
          </c:xVal>
          <c:yVal>
            <c:numRef>
              <c:f>'Old Data Sheet'!$C$3:$C$102</c:f>
              <c:numCache>
                <c:formatCode>General</c:formatCode>
                <c:ptCount val="100"/>
                <c:pt idx="1">
                  <c:v>20.6</c:v>
                </c:pt>
                <c:pt idx="4">
                  <c:v>1054</c:v>
                </c:pt>
                <c:pt idx="7">
                  <c:v>60.92</c:v>
                </c:pt>
                <c:pt idx="8">
                  <c:v>349.23</c:v>
                </c:pt>
                <c:pt idx="9">
                  <c:v>7860</c:v>
                </c:pt>
                <c:pt idx="10">
                  <c:v>35.5</c:v>
                </c:pt>
                <c:pt idx="11">
                  <c:v>420</c:v>
                </c:pt>
                <c:pt idx="20">
                  <c:v>2625</c:v>
                </c:pt>
                <c:pt idx="34">
                  <c:v>21</c:v>
                </c:pt>
                <c:pt idx="41">
                  <c:v>642.1</c:v>
                </c:pt>
                <c:pt idx="43">
                  <c:v>9.66</c:v>
                </c:pt>
                <c:pt idx="49">
                  <c:v>49.643599999999999</c:v>
                </c:pt>
                <c:pt idx="57">
                  <c:v>263.02999999999997</c:v>
                </c:pt>
                <c:pt idx="58">
                  <c:v>0.72850000000000004</c:v>
                </c:pt>
                <c:pt idx="59">
                  <c:v>51.505000000000003</c:v>
                </c:pt>
                <c:pt idx="64">
                  <c:v>45.029000000000003</c:v>
                </c:pt>
                <c:pt idx="65">
                  <c:v>25.683</c:v>
                </c:pt>
                <c:pt idx="67">
                  <c:v>307.8</c:v>
                </c:pt>
                <c:pt idx="68">
                  <c:v>43.75</c:v>
                </c:pt>
                <c:pt idx="70">
                  <c:v>4.375</c:v>
                </c:pt>
                <c:pt idx="71">
                  <c:v>6.3</c:v>
                </c:pt>
                <c:pt idx="72">
                  <c:v>30</c:v>
                </c:pt>
                <c:pt idx="73">
                  <c:v>20</c:v>
                </c:pt>
                <c:pt idx="74">
                  <c:v>58.4</c:v>
                </c:pt>
                <c:pt idx="75">
                  <c:v>23.725000000000001</c:v>
                </c:pt>
                <c:pt idx="76">
                  <c:v>64.122</c:v>
                </c:pt>
                <c:pt idx="77">
                  <c:v>618.5</c:v>
                </c:pt>
                <c:pt idx="78">
                  <c:v>213.6</c:v>
                </c:pt>
                <c:pt idx="79">
                  <c:v>48.7</c:v>
                </c:pt>
                <c:pt idx="80">
                  <c:v>170.1</c:v>
                </c:pt>
                <c:pt idx="81">
                  <c:v>248.8</c:v>
                </c:pt>
                <c:pt idx="82">
                  <c:v>80.7</c:v>
                </c:pt>
                <c:pt idx="83">
                  <c:v>312.55</c:v>
                </c:pt>
                <c:pt idx="84">
                  <c:v>110.2</c:v>
                </c:pt>
                <c:pt idx="85">
                  <c:v>47.548299999999998</c:v>
                </c:pt>
                <c:pt idx="86">
                  <c:v>114.66</c:v>
                </c:pt>
                <c:pt idx="87">
                  <c:v>4.0999999999999996</c:v>
                </c:pt>
                <c:pt idx="88">
                  <c:v>63.3</c:v>
                </c:pt>
                <c:pt idx="89">
                  <c:v>3.2</c:v>
                </c:pt>
                <c:pt idx="92">
                  <c:v>97.421999999999997</c:v>
                </c:pt>
                <c:pt idx="93">
                  <c:v>45.469000000000001</c:v>
                </c:pt>
                <c:pt idx="95">
                  <c:v>138.59800000000001</c:v>
                </c:pt>
                <c:pt idx="96">
                  <c:v>83.043000000000006</c:v>
                </c:pt>
                <c:pt idx="99">
                  <c:v>19.042999999999999</c:v>
                </c:pt>
              </c:numCache>
            </c:numRef>
          </c:yVal>
          <c:smooth val="0"/>
          <c:extLst>
            <c:ext xmlns:c16="http://schemas.microsoft.com/office/drawing/2014/chart" uri="{C3380CC4-5D6E-409C-BE32-E72D297353CC}">
              <c16:uniqueId val="{00000000-1244-644A-9345-9A02390F80F6}"/>
            </c:ext>
          </c:extLst>
        </c:ser>
        <c:dLbls>
          <c:showLegendKey val="0"/>
          <c:showVal val="0"/>
          <c:showCatName val="0"/>
          <c:showSerName val="0"/>
          <c:showPercent val="0"/>
          <c:showBubbleSize val="0"/>
        </c:dLbls>
        <c:axId val="2000105119"/>
        <c:axId val="1969575855"/>
      </c:scatterChart>
      <c:valAx>
        <c:axId val="2000105119"/>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Body</a:t>
                </a:r>
                <a:r>
                  <a:rPr lang="en-US" baseline="0"/>
                  <a:t> Mass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575855"/>
        <c:crosses val="autoZero"/>
        <c:crossBetween val="midCat"/>
      </c:valAx>
      <c:valAx>
        <c:axId val="1969575855"/>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Basal</a:t>
                </a:r>
                <a:r>
                  <a:rPr lang="en-US" baseline="0"/>
                  <a:t>  Cortisol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1051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600" b="1" i="0" u="none" strike="noStrike" kern="1200" spc="0" baseline="0">
                <a:solidFill>
                  <a:schemeClr val="tx1"/>
                </a:solidFill>
                <a:latin typeface="PT Sans" panose="020B0503020203020204" pitchFamily="34" charset="77"/>
                <a:ea typeface="+mn-ea"/>
                <a:cs typeface="+mn-cs"/>
              </a:defRPr>
            </a:pPr>
            <a:r>
              <a:rPr lang="en-US" sz="3600" b="1">
                <a:solidFill>
                  <a:schemeClr val="tx1"/>
                </a:solidFill>
                <a:latin typeface="PT Sans" panose="020B0503020203020204" pitchFamily="34" charset="77"/>
              </a:rPr>
              <a:t>Body</a:t>
            </a:r>
            <a:r>
              <a:rPr lang="en-US" sz="3600" b="1" baseline="0">
                <a:solidFill>
                  <a:schemeClr val="tx1"/>
                </a:solidFill>
                <a:latin typeface="PT Sans" panose="020B0503020203020204" pitchFamily="34" charset="77"/>
              </a:rPr>
              <a:t> Mass vs. </a:t>
            </a:r>
            <a:r>
              <a:rPr lang="en-US" sz="3600" b="1">
                <a:solidFill>
                  <a:schemeClr val="tx1"/>
                </a:solidFill>
                <a:latin typeface="PT Sans" panose="020B0503020203020204" pitchFamily="34" charset="77"/>
              </a:rPr>
              <a:t>Basal Corticosterone </a:t>
            </a:r>
          </a:p>
        </c:rich>
      </c:tx>
      <c:overlay val="0"/>
      <c:spPr>
        <a:noFill/>
        <a:ln>
          <a:noFill/>
        </a:ln>
        <a:effectLst/>
      </c:spPr>
      <c:txPr>
        <a:bodyPr rot="0" spcFirstLastPara="1" vertOverflow="ellipsis" vert="horz" wrap="square" anchor="ctr" anchorCtr="1"/>
        <a:lstStyle/>
        <a:p>
          <a:pPr>
            <a:defRPr sz="3600" b="1" i="0" u="none" strike="noStrike" kern="1200" spc="0" baseline="0">
              <a:solidFill>
                <a:schemeClr val="tx1"/>
              </a:solidFill>
              <a:latin typeface="PT Sans" panose="020B0503020203020204" pitchFamily="34" charset="77"/>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0"/>
          </c:trendline>
          <c:xVal>
            <c:numRef>
              <c:f>'Old Data Sheet'!$X$3:$X$102</c:f>
              <c:numCache>
                <c:formatCode>#,##0</c:formatCode>
                <c:ptCount val="100"/>
                <c:pt idx="0">
                  <c:v>7000</c:v>
                </c:pt>
                <c:pt idx="1">
                  <c:v>750000</c:v>
                </c:pt>
                <c:pt idx="2">
                  <c:v>750000</c:v>
                </c:pt>
                <c:pt idx="3">
                  <c:v>61000</c:v>
                </c:pt>
                <c:pt idx="4">
                  <c:v>1600</c:v>
                </c:pt>
                <c:pt idx="5">
                  <c:v>164500</c:v>
                </c:pt>
                <c:pt idx="6">
                  <c:v>215000</c:v>
                </c:pt>
                <c:pt idx="7">
                  <c:v>21667</c:v>
                </c:pt>
                <c:pt idx="8" formatCode="General">
                  <c:v>728</c:v>
                </c:pt>
                <c:pt idx="9">
                  <c:v>2643</c:v>
                </c:pt>
                <c:pt idx="10">
                  <c:v>5735</c:v>
                </c:pt>
                <c:pt idx="11" formatCode="General">
                  <c:v>64.8</c:v>
                </c:pt>
                <c:pt idx="12">
                  <c:v>61000</c:v>
                </c:pt>
                <c:pt idx="13">
                  <c:v>4175</c:v>
                </c:pt>
                <c:pt idx="14" formatCode="General">
                  <c:v>105</c:v>
                </c:pt>
                <c:pt idx="15">
                  <c:v>164500</c:v>
                </c:pt>
                <c:pt idx="16">
                  <c:v>6500</c:v>
                </c:pt>
                <c:pt idx="17">
                  <c:v>17000</c:v>
                </c:pt>
                <c:pt idx="18">
                  <c:v>102500</c:v>
                </c:pt>
                <c:pt idx="19">
                  <c:v>45.2</c:v>
                </c:pt>
                <c:pt idx="20">
                  <c:v>4500</c:v>
                </c:pt>
                <c:pt idx="21">
                  <c:v>413</c:v>
                </c:pt>
                <c:pt idx="22">
                  <c:v>215000</c:v>
                </c:pt>
                <c:pt idx="23">
                  <c:v>215000</c:v>
                </c:pt>
                <c:pt idx="24">
                  <c:v>2643</c:v>
                </c:pt>
                <c:pt idx="25">
                  <c:v>5735</c:v>
                </c:pt>
                <c:pt idx="26">
                  <c:v>5000</c:v>
                </c:pt>
                <c:pt idx="27">
                  <c:v>139842</c:v>
                </c:pt>
                <c:pt idx="28" formatCode="General">
                  <c:v>64.8</c:v>
                </c:pt>
                <c:pt idx="29">
                  <c:v>2643</c:v>
                </c:pt>
                <c:pt idx="30">
                  <c:v>5735</c:v>
                </c:pt>
                <c:pt idx="31">
                  <c:v>5000</c:v>
                </c:pt>
                <c:pt idx="32">
                  <c:v>139842</c:v>
                </c:pt>
                <c:pt idx="33" formatCode="General">
                  <c:v>64.8</c:v>
                </c:pt>
                <c:pt idx="34">
                  <c:v>5000</c:v>
                </c:pt>
                <c:pt idx="35">
                  <c:v>2643</c:v>
                </c:pt>
                <c:pt idx="36">
                  <c:v>5735</c:v>
                </c:pt>
                <c:pt idx="37">
                  <c:v>139842</c:v>
                </c:pt>
                <c:pt idx="38" formatCode="General">
                  <c:v>64.8</c:v>
                </c:pt>
                <c:pt idx="39">
                  <c:v>119700</c:v>
                </c:pt>
                <c:pt idx="40">
                  <c:v>119700</c:v>
                </c:pt>
                <c:pt idx="41">
                  <c:v>1500</c:v>
                </c:pt>
                <c:pt idx="42">
                  <c:v>10650</c:v>
                </c:pt>
                <c:pt idx="43">
                  <c:v>1602330</c:v>
                </c:pt>
                <c:pt idx="44">
                  <c:v>20200</c:v>
                </c:pt>
                <c:pt idx="45">
                  <c:v>20.87</c:v>
                </c:pt>
                <c:pt idx="46">
                  <c:v>30</c:v>
                </c:pt>
                <c:pt idx="47">
                  <c:v>37</c:v>
                </c:pt>
                <c:pt idx="48" formatCode="General">
                  <c:v>21</c:v>
                </c:pt>
                <c:pt idx="49">
                  <c:v>3178000</c:v>
                </c:pt>
                <c:pt idx="50">
                  <c:v>3178000</c:v>
                </c:pt>
                <c:pt idx="51">
                  <c:v>4175</c:v>
                </c:pt>
                <c:pt idx="52">
                  <c:v>5200</c:v>
                </c:pt>
                <c:pt idx="53">
                  <c:v>164500</c:v>
                </c:pt>
                <c:pt idx="54">
                  <c:v>215000</c:v>
                </c:pt>
                <c:pt idx="55">
                  <c:v>4132</c:v>
                </c:pt>
                <c:pt idx="56">
                  <c:v>45.2</c:v>
                </c:pt>
                <c:pt idx="57" formatCode="General">
                  <c:v>412.5</c:v>
                </c:pt>
                <c:pt idx="58">
                  <c:v>200000</c:v>
                </c:pt>
                <c:pt idx="59" formatCode="General">
                  <c:v>11950</c:v>
                </c:pt>
                <c:pt idx="60">
                  <c:v>200000</c:v>
                </c:pt>
                <c:pt idx="61">
                  <c:v>87000</c:v>
                </c:pt>
                <c:pt idx="62">
                  <c:v>26500</c:v>
                </c:pt>
                <c:pt idx="63">
                  <c:v>17400</c:v>
                </c:pt>
                <c:pt idx="64">
                  <c:v>1100000</c:v>
                </c:pt>
                <c:pt idx="65">
                  <c:v>1300</c:v>
                </c:pt>
                <c:pt idx="66">
                  <c:v>700000</c:v>
                </c:pt>
                <c:pt idx="67">
                  <c:v>81150</c:v>
                </c:pt>
                <c:pt idx="68">
                  <c:v>63000</c:v>
                </c:pt>
                <c:pt idx="69" formatCode="General">
                  <c:v>3940034</c:v>
                </c:pt>
                <c:pt idx="70" formatCode="General">
                  <c:v>2800</c:v>
                </c:pt>
                <c:pt idx="71">
                  <c:v>215000</c:v>
                </c:pt>
                <c:pt idx="72">
                  <c:v>164500</c:v>
                </c:pt>
                <c:pt idx="73">
                  <c:v>139842</c:v>
                </c:pt>
                <c:pt idx="74">
                  <c:v>1332</c:v>
                </c:pt>
                <c:pt idx="75">
                  <c:v>800000</c:v>
                </c:pt>
                <c:pt idx="76">
                  <c:v>315000</c:v>
                </c:pt>
                <c:pt idx="77" formatCode="#,##0.00">
                  <c:v>38446.1</c:v>
                </c:pt>
                <c:pt idx="78">
                  <c:v>3900</c:v>
                </c:pt>
                <c:pt idx="79">
                  <c:v>100000</c:v>
                </c:pt>
                <c:pt idx="80">
                  <c:v>1021</c:v>
                </c:pt>
                <c:pt idx="81">
                  <c:v>19500</c:v>
                </c:pt>
                <c:pt idx="82">
                  <c:v>103750</c:v>
                </c:pt>
                <c:pt idx="83" formatCode="General">
                  <c:v>22983.200000000001</c:v>
                </c:pt>
                <c:pt idx="84">
                  <c:v>776</c:v>
                </c:pt>
                <c:pt idx="85">
                  <c:v>12000</c:v>
                </c:pt>
                <c:pt idx="86">
                  <c:v>117500</c:v>
                </c:pt>
                <c:pt idx="87">
                  <c:v>2175000</c:v>
                </c:pt>
                <c:pt idx="88">
                  <c:v>18000</c:v>
                </c:pt>
                <c:pt idx="89">
                  <c:v>45000</c:v>
                </c:pt>
                <c:pt idx="90">
                  <c:v>444900</c:v>
                </c:pt>
                <c:pt idx="91">
                  <c:v>384000</c:v>
                </c:pt>
                <c:pt idx="92">
                  <c:v>46000</c:v>
                </c:pt>
                <c:pt idx="93">
                  <c:v>43000</c:v>
                </c:pt>
                <c:pt idx="94">
                  <c:v>3500</c:v>
                </c:pt>
                <c:pt idx="95" formatCode="General">
                  <c:v>235</c:v>
                </c:pt>
                <c:pt idx="96">
                  <c:v>177500</c:v>
                </c:pt>
                <c:pt idx="97">
                  <c:v>101250</c:v>
                </c:pt>
                <c:pt idx="98">
                  <c:v>101250</c:v>
                </c:pt>
                <c:pt idx="99">
                  <c:v>277500</c:v>
                </c:pt>
              </c:numCache>
            </c:numRef>
          </c:xVal>
          <c:yVal>
            <c:numRef>
              <c:f>'Old Data Sheet'!$D$3:$D$102</c:f>
              <c:numCache>
                <c:formatCode>General</c:formatCode>
                <c:ptCount val="100"/>
                <c:pt idx="35">
                  <c:v>1240</c:v>
                </c:pt>
                <c:pt idx="36">
                  <c:v>25</c:v>
                </c:pt>
                <c:pt idx="37">
                  <c:v>60</c:v>
                </c:pt>
                <c:pt idx="38">
                  <c:v>90</c:v>
                </c:pt>
                <c:pt idx="45">
                  <c:v>1743.1</c:v>
                </c:pt>
                <c:pt idx="46">
                  <c:v>2842.33</c:v>
                </c:pt>
                <c:pt idx="47">
                  <c:v>1711.28</c:v>
                </c:pt>
                <c:pt idx="48">
                  <c:v>1436.55</c:v>
                </c:pt>
                <c:pt idx="58">
                  <c:v>5.1319999999999997</c:v>
                </c:pt>
                <c:pt idx="71">
                  <c:v>102.75</c:v>
                </c:pt>
                <c:pt idx="72">
                  <c:v>640</c:v>
                </c:pt>
                <c:pt idx="74">
                  <c:v>1030</c:v>
                </c:pt>
                <c:pt idx="75">
                  <c:v>64.758300000000006</c:v>
                </c:pt>
                <c:pt idx="76">
                  <c:v>104.312</c:v>
                </c:pt>
                <c:pt idx="77">
                  <c:v>232.9</c:v>
                </c:pt>
                <c:pt idx="78">
                  <c:v>354.7</c:v>
                </c:pt>
                <c:pt idx="79">
                  <c:v>64.099999999999994</c:v>
                </c:pt>
                <c:pt idx="80">
                  <c:v>101.9</c:v>
                </c:pt>
                <c:pt idx="81">
                  <c:v>302.2</c:v>
                </c:pt>
                <c:pt idx="82">
                  <c:v>45.1</c:v>
                </c:pt>
                <c:pt idx="83">
                  <c:v>215.8</c:v>
                </c:pt>
                <c:pt idx="84">
                  <c:v>175</c:v>
                </c:pt>
                <c:pt idx="87">
                  <c:v>8.6</c:v>
                </c:pt>
                <c:pt idx="91">
                  <c:v>16.2</c:v>
                </c:pt>
                <c:pt idx="94">
                  <c:v>132</c:v>
                </c:pt>
              </c:numCache>
            </c:numRef>
          </c:yVal>
          <c:smooth val="0"/>
          <c:extLst>
            <c:ext xmlns:c16="http://schemas.microsoft.com/office/drawing/2014/chart" uri="{C3380CC4-5D6E-409C-BE32-E72D297353CC}">
              <c16:uniqueId val="{00000000-5908-914F-AE47-44BC67981E5E}"/>
            </c:ext>
          </c:extLst>
        </c:ser>
        <c:dLbls>
          <c:showLegendKey val="0"/>
          <c:showVal val="0"/>
          <c:showCatName val="0"/>
          <c:showSerName val="0"/>
          <c:showPercent val="0"/>
          <c:showBubbleSize val="0"/>
        </c:dLbls>
        <c:axId val="2060369375"/>
        <c:axId val="2051657247"/>
      </c:scatterChart>
      <c:valAx>
        <c:axId val="2060369375"/>
        <c:scaling>
          <c:logBase val="10"/>
          <c:orientation val="minMax"/>
        </c:scaling>
        <c:delete val="0"/>
        <c:axPos val="b"/>
        <c:title>
          <c:tx>
            <c:rich>
              <a:bodyPr rot="0" spcFirstLastPara="1" vertOverflow="ellipsis" vert="horz" wrap="square" anchor="ctr" anchorCtr="1"/>
              <a:lstStyle/>
              <a:p>
                <a:pPr>
                  <a:defRPr sz="2400" b="0" i="0" u="none" strike="noStrike" kern="1200" baseline="0">
                    <a:solidFill>
                      <a:schemeClr val="tx1"/>
                    </a:solidFill>
                    <a:latin typeface="+mn-lt"/>
                    <a:ea typeface="+mn-ea"/>
                    <a:cs typeface="+mn-cs"/>
                  </a:defRPr>
                </a:pPr>
                <a:r>
                  <a:rPr lang="en-US" sz="2400">
                    <a:solidFill>
                      <a:schemeClr val="tx1"/>
                    </a:solidFill>
                  </a:rPr>
                  <a:t>Body</a:t>
                </a:r>
                <a:r>
                  <a:rPr lang="en-US" sz="2400" baseline="0">
                    <a:solidFill>
                      <a:schemeClr val="tx1"/>
                    </a:solidFill>
                  </a:rPr>
                  <a:t> Mass (g)</a:t>
                </a:r>
                <a:endParaRPr lang="en-US" sz="2400">
                  <a:solidFill>
                    <a:schemeClr val="tx1"/>
                  </a:solidFill>
                </a:endParaRPr>
              </a:p>
            </c:rich>
          </c:tx>
          <c:layout>
            <c:manualLayout>
              <c:xMode val="edge"/>
              <c:yMode val="edge"/>
              <c:x val="0.40933876300315675"/>
              <c:y val="0.93216521805862262"/>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31750" cap="flat" cmpd="sng" algn="ctr">
            <a:solidFill>
              <a:srgbClr val="00206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51657247"/>
        <c:crosses val="autoZero"/>
        <c:crossBetween val="midCat"/>
      </c:valAx>
      <c:valAx>
        <c:axId val="2051657247"/>
        <c:scaling>
          <c:logBase val="10"/>
          <c:orientation val="minMax"/>
        </c:scaling>
        <c:delete val="0"/>
        <c:axPos val="l"/>
        <c:title>
          <c:tx>
            <c:rich>
              <a:bodyPr rot="-5400000" spcFirstLastPara="1" vertOverflow="ellipsis" vert="horz" wrap="square" anchor="ctr" anchorCtr="1"/>
              <a:lstStyle/>
              <a:p>
                <a:pPr>
                  <a:defRPr sz="2400" b="0" i="0" u="none" strike="noStrike" kern="1200" baseline="0">
                    <a:solidFill>
                      <a:schemeClr val="tx1"/>
                    </a:solidFill>
                    <a:latin typeface="+mn-lt"/>
                    <a:ea typeface="+mn-ea"/>
                    <a:cs typeface="+mn-cs"/>
                  </a:defRPr>
                </a:pPr>
                <a:r>
                  <a:rPr lang="en-US" sz="2400">
                    <a:solidFill>
                      <a:schemeClr val="tx1"/>
                    </a:solidFill>
                  </a:rPr>
                  <a:t>Basal</a:t>
                </a:r>
                <a:r>
                  <a:rPr lang="en-US" sz="2400" baseline="0">
                    <a:solidFill>
                      <a:schemeClr val="tx1"/>
                    </a:solidFill>
                  </a:rPr>
                  <a:t> Corticosterone (ng/g feces)</a:t>
                </a:r>
                <a:endParaRPr lang="en-US" sz="2400">
                  <a:solidFill>
                    <a:schemeClr val="tx1"/>
                  </a:solidFill>
                </a:endParaRPr>
              </a:p>
            </c:rich>
          </c:tx>
          <c:overlay val="0"/>
          <c:spPr>
            <a:noFill/>
            <a:ln>
              <a:noFill/>
            </a:ln>
            <a:effectLst/>
          </c:spPr>
          <c:txPr>
            <a:bodyPr rot="-5400000" spcFirstLastPara="1" vertOverflow="ellipsis" vert="horz" wrap="square" anchor="ctr" anchorCtr="1"/>
            <a:lstStyle/>
            <a:p>
              <a:pPr>
                <a:defRPr sz="2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31750" cap="flat" cmpd="sng" algn="ctr">
            <a:solidFill>
              <a:srgbClr val="00206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60369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Body</a:t>
            </a:r>
            <a:r>
              <a:rPr lang="en-US" baseline="0"/>
              <a:t> Mass vs. Elevated Cortisol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2.0721538733477839E-2"/>
                  <c:y val="-0.36957765766666378"/>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2000" baseline="0"/>
                      <a:t>y = 8670.2x</a:t>
                    </a:r>
                    <a:r>
                      <a:rPr lang="en-US" sz="2000" baseline="30000"/>
                      <a:t>-0.358</a:t>
                    </a:r>
                    <a:br>
                      <a:rPr lang="en-US" sz="2000" baseline="0"/>
                    </a:br>
                    <a:r>
                      <a:rPr lang="en-US" sz="2000" baseline="0"/>
                      <a:t>R² = 0.0067</a:t>
                    </a:r>
                    <a:endParaRPr lang="en-US" sz="20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Sheet'!$X$3:$X$102</c:f>
              <c:numCache>
                <c:formatCode>#,##0</c:formatCode>
                <c:ptCount val="100"/>
                <c:pt idx="0">
                  <c:v>7000</c:v>
                </c:pt>
                <c:pt idx="1">
                  <c:v>750000</c:v>
                </c:pt>
                <c:pt idx="2">
                  <c:v>750000</c:v>
                </c:pt>
                <c:pt idx="3">
                  <c:v>61000</c:v>
                </c:pt>
                <c:pt idx="4">
                  <c:v>1600</c:v>
                </c:pt>
                <c:pt idx="5">
                  <c:v>164500</c:v>
                </c:pt>
                <c:pt idx="6">
                  <c:v>215000</c:v>
                </c:pt>
                <c:pt idx="7">
                  <c:v>21667</c:v>
                </c:pt>
                <c:pt idx="8" formatCode="General">
                  <c:v>728</c:v>
                </c:pt>
                <c:pt idx="9">
                  <c:v>2643</c:v>
                </c:pt>
                <c:pt idx="10">
                  <c:v>5735</c:v>
                </c:pt>
                <c:pt idx="11" formatCode="General">
                  <c:v>64.8</c:v>
                </c:pt>
                <c:pt idx="12">
                  <c:v>61000</c:v>
                </c:pt>
                <c:pt idx="13">
                  <c:v>4175</c:v>
                </c:pt>
                <c:pt idx="14" formatCode="General">
                  <c:v>105</c:v>
                </c:pt>
                <c:pt idx="15">
                  <c:v>164500</c:v>
                </c:pt>
                <c:pt idx="16">
                  <c:v>6500</c:v>
                </c:pt>
                <c:pt idx="17">
                  <c:v>17000</c:v>
                </c:pt>
                <c:pt idx="18">
                  <c:v>102500</c:v>
                </c:pt>
                <c:pt idx="19">
                  <c:v>45.2</c:v>
                </c:pt>
                <c:pt idx="20">
                  <c:v>4500</c:v>
                </c:pt>
                <c:pt idx="21">
                  <c:v>413</c:v>
                </c:pt>
                <c:pt idx="22">
                  <c:v>215000</c:v>
                </c:pt>
                <c:pt idx="23">
                  <c:v>215000</c:v>
                </c:pt>
                <c:pt idx="24">
                  <c:v>2643</c:v>
                </c:pt>
                <c:pt idx="25">
                  <c:v>5735</c:v>
                </c:pt>
                <c:pt idx="26">
                  <c:v>5000</c:v>
                </c:pt>
                <c:pt idx="27">
                  <c:v>139842</c:v>
                </c:pt>
                <c:pt idx="28" formatCode="General">
                  <c:v>64.8</c:v>
                </c:pt>
                <c:pt idx="29">
                  <c:v>2643</c:v>
                </c:pt>
                <c:pt idx="30">
                  <c:v>5735</c:v>
                </c:pt>
                <c:pt idx="31">
                  <c:v>5000</c:v>
                </c:pt>
                <c:pt idx="32">
                  <c:v>139842</c:v>
                </c:pt>
                <c:pt idx="33" formatCode="General">
                  <c:v>64.8</c:v>
                </c:pt>
                <c:pt idx="34">
                  <c:v>5000</c:v>
                </c:pt>
                <c:pt idx="35">
                  <c:v>2643</c:v>
                </c:pt>
                <c:pt idx="36">
                  <c:v>5735</c:v>
                </c:pt>
                <c:pt idx="37">
                  <c:v>139842</c:v>
                </c:pt>
                <c:pt idx="38" formatCode="General">
                  <c:v>64.8</c:v>
                </c:pt>
                <c:pt idx="39">
                  <c:v>119700</c:v>
                </c:pt>
                <c:pt idx="40">
                  <c:v>119700</c:v>
                </c:pt>
                <c:pt idx="41">
                  <c:v>1500</c:v>
                </c:pt>
                <c:pt idx="42">
                  <c:v>10650</c:v>
                </c:pt>
                <c:pt idx="43">
                  <c:v>1602330</c:v>
                </c:pt>
                <c:pt idx="44">
                  <c:v>20200</c:v>
                </c:pt>
                <c:pt idx="45">
                  <c:v>20.87</c:v>
                </c:pt>
                <c:pt idx="46">
                  <c:v>30</c:v>
                </c:pt>
                <c:pt idx="47">
                  <c:v>37</c:v>
                </c:pt>
                <c:pt idx="48" formatCode="General">
                  <c:v>21</c:v>
                </c:pt>
                <c:pt idx="49">
                  <c:v>3178000</c:v>
                </c:pt>
                <c:pt idx="50">
                  <c:v>3178000</c:v>
                </c:pt>
                <c:pt idx="51">
                  <c:v>4175</c:v>
                </c:pt>
                <c:pt idx="52">
                  <c:v>5200</c:v>
                </c:pt>
                <c:pt idx="53">
                  <c:v>164500</c:v>
                </c:pt>
                <c:pt idx="54">
                  <c:v>215000</c:v>
                </c:pt>
                <c:pt idx="55">
                  <c:v>4132</c:v>
                </c:pt>
                <c:pt idx="56">
                  <c:v>45.2</c:v>
                </c:pt>
                <c:pt idx="57" formatCode="General">
                  <c:v>412.5</c:v>
                </c:pt>
                <c:pt idx="58">
                  <c:v>200000</c:v>
                </c:pt>
                <c:pt idx="59" formatCode="General">
                  <c:v>11950</c:v>
                </c:pt>
                <c:pt idx="60">
                  <c:v>200000</c:v>
                </c:pt>
                <c:pt idx="61">
                  <c:v>87000</c:v>
                </c:pt>
                <c:pt idx="62">
                  <c:v>26500</c:v>
                </c:pt>
                <c:pt idx="63">
                  <c:v>17400</c:v>
                </c:pt>
                <c:pt idx="64">
                  <c:v>1100000</c:v>
                </c:pt>
                <c:pt idx="65">
                  <c:v>1300</c:v>
                </c:pt>
                <c:pt idx="66">
                  <c:v>700000</c:v>
                </c:pt>
                <c:pt idx="67">
                  <c:v>81150</c:v>
                </c:pt>
                <c:pt idx="68">
                  <c:v>63000</c:v>
                </c:pt>
                <c:pt idx="69" formatCode="General">
                  <c:v>3940034</c:v>
                </c:pt>
                <c:pt idx="70" formatCode="General">
                  <c:v>2800</c:v>
                </c:pt>
                <c:pt idx="71">
                  <c:v>215000</c:v>
                </c:pt>
                <c:pt idx="72">
                  <c:v>164500</c:v>
                </c:pt>
                <c:pt idx="73">
                  <c:v>139842</c:v>
                </c:pt>
                <c:pt idx="74">
                  <c:v>1332</c:v>
                </c:pt>
                <c:pt idx="75">
                  <c:v>800000</c:v>
                </c:pt>
                <c:pt idx="76">
                  <c:v>315000</c:v>
                </c:pt>
                <c:pt idx="77" formatCode="#,##0.00">
                  <c:v>38446.1</c:v>
                </c:pt>
                <c:pt idx="78">
                  <c:v>3900</c:v>
                </c:pt>
                <c:pt idx="79">
                  <c:v>100000</c:v>
                </c:pt>
                <c:pt idx="80">
                  <c:v>1021</c:v>
                </c:pt>
                <c:pt idx="81">
                  <c:v>19500</c:v>
                </c:pt>
                <c:pt idx="82">
                  <c:v>103750</c:v>
                </c:pt>
                <c:pt idx="83" formatCode="General">
                  <c:v>22983.200000000001</c:v>
                </c:pt>
                <c:pt idx="84">
                  <c:v>776</c:v>
                </c:pt>
                <c:pt idx="85">
                  <c:v>12000</c:v>
                </c:pt>
                <c:pt idx="86">
                  <c:v>117500</c:v>
                </c:pt>
                <c:pt idx="87">
                  <c:v>2175000</c:v>
                </c:pt>
                <c:pt idx="88">
                  <c:v>18000</c:v>
                </c:pt>
                <c:pt idx="89">
                  <c:v>45000</c:v>
                </c:pt>
                <c:pt idx="90">
                  <c:v>444900</c:v>
                </c:pt>
                <c:pt idx="91">
                  <c:v>384000</c:v>
                </c:pt>
                <c:pt idx="92">
                  <c:v>46000</c:v>
                </c:pt>
                <c:pt idx="93">
                  <c:v>43000</c:v>
                </c:pt>
                <c:pt idx="94">
                  <c:v>3500</c:v>
                </c:pt>
                <c:pt idx="95" formatCode="General">
                  <c:v>235</c:v>
                </c:pt>
                <c:pt idx="96">
                  <c:v>177500</c:v>
                </c:pt>
                <c:pt idx="97">
                  <c:v>101250</c:v>
                </c:pt>
                <c:pt idx="98">
                  <c:v>101250</c:v>
                </c:pt>
                <c:pt idx="99">
                  <c:v>277500</c:v>
                </c:pt>
              </c:numCache>
            </c:numRef>
          </c:xVal>
          <c:yVal>
            <c:numRef>
              <c:f>'Old Data Sheet'!$E$3:$E$102</c:f>
              <c:numCache>
                <c:formatCode>General</c:formatCode>
                <c:ptCount val="100"/>
                <c:pt idx="4" formatCode="#,##0">
                  <c:v>0</c:v>
                </c:pt>
                <c:pt idx="7">
                  <c:v>459</c:v>
                </c:pt>
                <c:pt idx="9">
                  <c:v>121250</c:v>
                </c:pt>
                <c:pt idx="10">
                  <c:v>188.5</c:v>
                </c:pt>
                <c:pt idx="11">
                  <c:v>1940</c:v>
                </c:pt>
                <c:pt idx="20">
                  <c:v>3748</c:v>
                </c:pt>
                <c:pt idx="34">
                  <c:v>37</c:v>
                </c:pt>
                <c:pt idx="41">
                  <c:v>1379.3</c:v>
                </c:pt>
                <c:pt idx="43">
                  <c:v>35.28</c:v>
                </c:pt>
                <c:pt idx="57">
                  <c:v>416.87</c:v>
                </c:pt>
                <c:pt idx="58">
                  <c:v>6.2914000000000003</c:v>
                </c:pt>
                <c:pt idx="59">
                  <c:v>80.245000000000005</c:v>
                </c:pt>
                <c:pt idx="64">
                  <c:v>105.90300000000001</c:v>
                </c:pt>
                <c:pt idx="65">
                  <c:v>209.113</c:v>
                </c:pt>
                <c:pt idx="67">
                  <c:v>820.9</c:v>
                </c:pt>
                <c:pt idx="68">
                  <c:v>744.95</c:v>
                </c:pt>
                <c:pt idx="70">
                  <c:v>43.6</c:v>
                </c:pt>
                <c:pt idx="71">
                  <c:v>19.2</c:v>
                </c:pt>
                <c:pt idx="72">
                  <c:v>115</c:v>
                </c:pt>
                <c:pt idx="73">
                  <c:v>40</c:v>
                </c:pt>
                <c:pt idx="74">
                  <c:v>104.2</c:v>
                </c:pt>
                <c:pt idx="75">
                  <c:v>49.3</c:v>
                </c:pt>
                <c:pt idx="76">
                  <c:v>14.9099</c:v>
                </c:pt>
                <c:pt idx="77">
                  <c:v>1850.3</c:v>
                </c:pt>
                <c:pt idx="78">
                  <c:v>384.6</c:v>
                </c:pt>
                <c:pt idx="79">
                  <c:v>1428.8</c:v>
                </c:pt>
                <c:pt idx="80">
                  <c:v>324.60000000000002</c:v>
                </c:pt>
                <c:pt idx="81">
                  <c:v>1100.7</c:v>
                </c:pt>
                <c:pt idx="82">
                  <c:v>369.6</c:v>
                </c:pt>
                <c:pt idx="83">
                  <c:v>969.85</c:v>
                </c:pt>
                <c:pt idx="84">
                  <c:v>614.1</c:v>
                </c:pt>
                <c:pt idx="85">
                  <c:v>65.816100000000006</c:v>
                </c:pt>
                <c:pt idx="86">
                  <c:v>179.49199999999999</c:v>
                </c:pt>
                <c:pt idx="87">
                  <c:v>28.3</c:v>
                </c:pt>
                <c:pt idx="89">
                  <c:v>5.15</c:v>
                </c:pt>
                <c:pt idx="92">
                  <c:v>1981.5070000000001</c:v>
                </c:pt>
                <c:pt idx="93">
                  <c:v>228.89965000000001</c:v>
                </c:pt>
                <c:pt idx="95">
                  <c:v>272.02499999999998</c:v>
                </c:pt>
                <c:pt idx="96">
                  <c:v>184.65899999999999</c:v>
                </c:pt>
                <c:pt idx="99">
                  <c:v>112.455</c:v>
                </c:pt>
              </c:numCache>
            </c:numRef>
          </c:yVal>
          <c:smooth val="0"/>
          <c:extLst>
            <c:ext xmlns:c16="http://schemas.microsoft.com/office/drawing/2014/chart" uri="{C3380CC4-5D6E-409C-BE32-E72D297353CC}">
              <c16:uniqueId val="{00000000-9D06-F844-ACC3-821EB919789D}"/>
            </c:ext>
          </c:extLst>
        </c:ser>
        <c:dLbls>
          <c:showLegendKey val="0"/>
          <c:showVal val="0"/>
          <c:showCatName val="0"/>
          <c:showSerName val="0"/>
          <c:showPercent val="0"/>
          <c:showBubbleSize val="0"/>
        </c:dLbls>
        <c:axId val="2051900031"/>
        <c:axId val="2054019967"/>
      </c:scatterChart>
      <c:valAx>
        <c:axId val="2051900031"/>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Body</a:t>
                </a:r>
                <a:r>
                  <a:rPr lang="en-US" baseline="0"/>
                  <a:t> Mass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019967"/>
        <c:crosses val="autoZero"/>
        <c:crossBetween val="midCat"/>
      </c:valAx>
      <c:valAx>
        <c:axId val="2054019967"/>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Elevated</a:t>
                </a:r>
                <a:r>
                  <a:rPr lang="en-US" baseline="0"/>
                  <a:t> Cortisol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9000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Body Mass</a:t>
            </a:r>
            <a:r>
              <a:rPr lang="en-US" baseline="0"/>
              <a:t> vs. ELevated Corticosterone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353513422900456E-2"/>
          <c:y val="9.2537335586493213E-2"/>
          <c:w val="0.86965426804703494"/>
          <c:h val="0.84638065785440697"/>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6.0675225404982755E-2"/>
                  <c:y val="-0.38309628861306877"/>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2000" baseline="0"/>
                      <a:t>y = 24274x</a:t>
                    </a:r>
                    <a:r>
                      <a:rPr lang="en-US" sz="2000" baseline="30000"/>
                      <a:t>-0.389</a:t>
                    </a:r>
                    <a:br>
                      <a:rPr lang="en-US" sz="2000" baseline="0"/>
                    </a:br>
                    <a:r>
                      <a:rPr lang="en-US" sz="2000" baseline="0"/>
                      <a:t>R² = 0.0009</a:t>
                    </a:r>
                    <a:endParaRPr lang="en-US" sz="20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Sheet'!$X$3:$X$102</c:f>
              <c:numCache>
                <c:formatCode>#,##0</c:formatCode>
                <c:ptCount val="100"/>
                <c:pt idx="0">
                  <c:v>7000</c:v>
                </c:pt>
                <c:pt idx="1">
                  <c:v>750000</c:v>
                </c:pt>
                <c:pt idx="2">
                  <c:v>750000</c:v>
                </c:pt>
                <c:pt idx="3">
                  <c:v>61000</c:v>
                </c:pt>
                <c:pt idx="4">
                  <c:v>1600</c:v>
                </c:pt>
                <c:pt idx="5">
                  <c:v>164500</c:v>
                </c:pt>
                <c:pt idx="6">
                  <c:v>215000</c:v>
                </c:pt>
                <c:pt idx="7">
                  <c:v>21667</c:v>
                </c:pt>
                <c:pt idx="8" formatCode="General">
                  <c:v>728</c:v>
                </c:pt>
                <c:pt idx="9">
                  <c:v>2643</c:v>
                </c:pt>
                <c:pt idx="10">
                  <c:v>5735</c:v>
                </c:pt>
                <c:pt idx="11" formatCode="General">
                  <c:v>64.8</c:v>
                </c:pt>
                <c:pt idx="12">
                  <c:v>61000</c:v>
                </c:pt>
                <c:pt idx="13">
                  <c:v>4175</c:v>
                </c:pt>
                <c:pt idx="14" formatCode="General">
                  <c:v>105</c:v>
                </c:pt>
                <c:pt idx="15">
                  <c:v>164500</c:v>
                </c:pt>
                <c:pt idx="16">
                  <c:v>6500</c:v>
                </c:pt>
                <c:pt idx="17">
                  <c:v>17000</c:v>
                </c:pt>
                <c:pt idx="18">
                  <c:v>102500</c:v>
                </c:pt>
                <c:pt idx="19">
                  <c:v>45.2</c:v>
                </c:pt>
                <c:pt idx="20">
                  <c:v>4500</c:v>
                </c:pt>
                <c:pt idx="21">
                  <c:v>413</c:v>
                </c:pt>
                <c:pt idx="22">
                  <c:v>215000</c:v>
                </c:pt>
                <c:pt idx="23">
                  <c:v>215000</c:v>
                </c:pt>
                <c:pt idx="24">
                  <c:v>2643</c:v>
                </c:pt>
                <c:pt idx="25">
                  <c:v>5735</c:v>
                </c:pt>
                <c:pt idx="26">
                  <c:v>5000</c:v>
                </c:pt>
                <c:pt idx="27">
                  <c:v>139842</c:v>
                </c:pt>
                <c:pt idx="28" formatCode="General">
                  <c:v>64.8</c:v>
                </c:pt>
                <c:pt idx="29">
                  <c:v>2643</c:v>
                </c:pt>
                <c:pt idx="30">
                  <c:v>5735</c:v>
                </c:pt>
                <c:pt idx="31">
                  <c:v>5000</c:v>
                </c:pt>
                <c:pt idx="32">
                  <c:v>139842</c:v>
                </c:pt>
                <c:pt idx="33" formatCode="General">
                  <c:v>64.8</c:v>
                </c:pt>
                <c:pt idx="34">
                  <c:v>5000</c:v>
                </c:pt>
                <c:pt idx="35">
                  <c:v>2643</c:v>
                </c:pt>
                <c:pt idx="36">
                  <c:v>5735</c:v>
                </c:pt>
                <c:pt idx="37">
                  <c:v>139842</c:v>
                </c:pt>
                <c:pt idx="38" formatCode="General">
                  <c:v>64.8</c:v>
                </c:pt>
                <c:pt idx="39">
                  <c:v>119700</c:v>
                </c:pt>
                <c:pt idx="40">
                  <c:v>119700</c:v>
                </c:pt>
                <c:pt idx="41">
                  <c:v>1500</c:v>
                </c:pt>
                <c:pt idx="42">
                  <c:v>10650</c:v>
                </c:pt>
                <c:pt idx="43">
                  <c:v>1602330</c:v>
                </c:pt>
                <c:pt idx="44">
                  <c:v>20200</c:v>
                </c:pt>
                <c:pt idx="45">
                  <c:v>20.87</c:v>
                </c:pt>
                <c:pt idx="46">
                  <c:v>30</c:v>
                </c:pt>
                <c:pt idx="47">
                  <c:v>37</c:v>
                </c:pt>
                <c:pt idx="48" formatCode="General">
                  <c:v>21</c:v>
                </c:pt>
                <c:pt idx="49">
                  <c:v>3178000</c:v>
                </c:pt>
                <c:pt idx="50">
                  <c:v>3178000</c:v>
                </c:pt>
                <c:pt idx="51">
                  <c:v>4175</c:v>
                </c:pt>
                <c:pt idx="52">
                  <c:v>5200</c:v>
                </c:pt>
                <c:pt idx="53">
                  <c:v>164500</c:v>
                </c:pt>
                <c:pt idx="54">
                  <c:v>215000</c:v>
                </c:pt>
                <c:pt idx="55">
                  <c:v>4132</c:v>
                </c:pt>
                <c:pt idx="56">
                  <c:v>45.2</c:v>
                </c:pt>
                <c:pt idx="57" formatCode="General">
                  <c:v>412.5</c:v>
                </c:pt>
                <c:pt idx="58">
                  <c:v>200000</c:v>
                </c:pt>
                <c:pt idx="59" formatCode="General">
                  <c:v>11950</c:v>
                </c:pt>
                <c:pt idx="60">
                  <c:v>200000</c:v>
                </c:pt>
                <c:pt idx="61">
                  <c:v>87000</c:v>
                </c:pt>
                <c:pt idx="62">
                  <c:v>26500</c:v>
                </c:pt>
                <c:pt idx="63">
                  <c:v>17400</c:v>
                </c:pt>
                <c:pt idx="64">
                  <c:v>1100000</c:v>
                </c:pt>
                <c:pt idx="65">
                  <c:v>1300</c:v>
                </c:pt>
                <c:pt idx="66">
                  <c:v>700000</c:v>
                </c:pt>
                <c:pt idx="67">
                  <c:v>81150</c:v>
                </c:pt>
                <c:pt idx="68">
                  <c:v>63000</c:v>
                </c:pt>
                <c:pt idx="69" formatCode="General">
                  <c:v>3940034</c:v>
                </c:pt>
                <c:pt idx="70" formatCode="General">
                  <c:v>2800</c:v>
                </c:pt>
                <c:pt idx="71">
                  <c:v>215000</c:v>
                </c:pt>
                <c:pt idx="72">
                  <c:v>164500</c:v>
                </c:pt>
                <c:pt idx="73">
                  <c:v>139842</c:v>
                </c:pt>
                <c:pt idx="74">
                  <c:v>1332</c:v>
                </c:pt>
                <c:pt idx="75">
                  <c:v>800000</c:v>
                </c:pt>
                <c:pt idx="76">
                  <c:v>315000</c:v>
                </c:pt>
                <c:pt idx="77" formatCode="#,##0.00">
                  <c:v>38446.1</c:v>
                </c:pt>
                <c:pt idx="78">
                  <c:v>3900</c:v>
                </c:pt>
                <c:pt idx="79">
                  <c:v>100000</c:v>
                </c:pt>
                <c:pt idx="80">
                  <c:v>1021</c:v>
                </c:pt>
                <c:pt idx="81">
                  <c:v>19500</c:v>
                </c:pt>
                <c:pt idx="82">
                  <c:v>103750</c:v>
                </c:pt>
                <c:pt idx="83" formatCode="General">
                  <c:v>22983.200000000001</c:v>
                </c:pt>
                <c:pt idx="84">
                  <c:v>776</c:v>
                </c:pt>
                <c:pt idx="85">
                  <c:v>12000</c:v>
                </c:pt>
                <c:pt idx="86">
                  <c:v>117500</c:v>
                </c:pt>
                <c:pt idx="87">
                  <c:v>2175000</c:v>
                </c:pt>
                <c:pt idx="88">
                  <c:v>18000</c:v>
                </c:pt>
                <c:pt idx="89">
                  <c:v>45000</c:v>
                </c:pt>
                <c:pt idx="90">
                  <c:v>444900</c:v>
                </c:pt>
                <c:pt idx="91">
                  <c:v>384000</c:v>
                </c:pt>
                <c:pt idx="92">
                  <c:v>46000</c:v>
                </c:pt>
                <c:pt idx="93">
                  <c:v>43000</c:v>
                </c:pt>
                <c:pt idx="94">
                  <c:v>3500</c:v>
                </c:pt>
                <c:pt idx="95" formatCode="General">
                  <c:v>235</c:v>
                </c:pt>
                <c:pt idx="96">
                  <c:v>177500</c:v>
                </c:pt>
                <c:pt idx="97">
                  <c:v>101250</c:v>
                </c:pt>
                <c:pt idx="98">
                  <c:v>101250</c:v>
                </c:pt>
                <c:pt idx="99">
                  <c:v>277500</c:v>
                </c:pt>
              </c:numCache>
            </c:numRef>
          </c:xVal>
          <c:yVal>
            <c:numRef>
              <c:f>'Old Data Sheet'!$F$3:$F$102</c:f>
              <c:numCache>
                <c:formatCode>General</c:formatCode>
                <c:ptCount val="100"/>
                <c:pt idx="35">
                  <c:v>64845</c:v>
                </c:pt>
                <c:pt idx="36">
                  <c:v>749.5</c:v>
                </c:pt>
                <c:pt idx="37">
                  <c:v>140</c:v>
                </c:pt>
                <c:pt idx="38">
                  <c:v>870</c:v>
                </c:pt>
                <c:pt idx="48">
                  <c:v>2368.4699999999998</c:v>
                </c:pt>
                <c:pt idx="58">
                  <c:v>16.645</c:v>
                </c:pt>
                <c:pt idx="71">
                  <c:v>283.89999999999998</c:v>
                </c:pt>
                <c:pt idx="72">
                  <c:v>1320</c:v>
                </c:pt>
                <c:pt idx="74">
                  <c:v>2120</c:v>
                </c:pt>
                <c:pt idx="75">
                  <c:v>178.8</c:v>
                </c:pt>
                <c:pt idx="76">
                  <c:v>59.786999999999999</c:v>
                </c:pt>
                <c:pt idx="77">
                  <c:v>3578</c:v>
                </c:pt>
                <c:pt idx="78">
                  <c:v>544.5</c:v>
                </c:pt>
                <c:pt idx="79">
                  <c:v>666.5</c:v>
                </c:pt>
                <c:pt idx="80">
                  <c:v>174.7</c:v>
                </c:pt>
                <c:pt idx="81">
                  <c:v>1621.8</c:v>
                </c:pt>
                <c:pt idx="82">
                  <c:v>212.8</c:v>
                </c:pt>
                <c:pt idx="83">
                  <c:v>684.8</c:v>
                </c:pt>
                <c:pt idx="84">
                  <c:v>2672.8</c:v>
                </c:pt>
                <c:pt idx="87">
                  <c:v>27.2</c:v>
                </c:pt>
                <c:pt idx="91">
                  <c:v>25.1</c:v>
                </c:pt>
                <c:pt idx="94">
                  <c:v>4417</c:v>
                </c:pt>
              </c:numCache>
            </c:numRef>
          </c:yVal>
          <c:smooth val="0"/>
          <c:extLst>
            <c:ext xmlns:c16="http://schemas.microsoft.com/office/drawing/2014/chart" uri="{C3380CC4-5D6E-409C-BE32-E72D297353CC}">
              <c16:uniqueId val="{00000000-023E-F747-B29C-758BB7EBB674}"/>
            </c:ext>
          </c:extLst>
        </c:ser>
        <c:dLbls>
          <c:showLegendKey val="0"/>
          <c:showVal val="0"/>
          <c:showCatName val="0"/>
          <c:showSerName val="0"/>
          <c:showPercent val="0"/>
          <c:showBubbleSize val="0"/>
        </c:dLbls>
        <c:axId val="2083597583"/>
        <c:axId val="2084354463"/>
      </c:scatterChart>
      <c:valAx>
        <c:axId val="2083597583"/>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Body</a:t>
                </a:r>
                <a:r>
                  <a:rPr lang="en-US" baseline="0"/>
                  <a:t> Mass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354463"/>
        <c:crosses val="autoZero"/>
        <c:crossBetween val="midCat"/>
      </c:valAx>
      <c:valAx>
        <c:axId val="2084354463"/>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Elevated</a:t>
                </a:r>
                <a:r>
                  <a:rPr lang="en-US" baseline="0"/>
                  <a:t> Corticosterone</a:t>
                </a:r>
                <a:endParaRPr lang="en-US"/>
              </a:p>
            </c:rich>
          </c:tx>
          <c:layout>
            <c:manualLayout>
              <c:xMode val="edge"/>
              <c:yMode val="edge"/>
              <c:x val="1.648157340626754E-2"/>
              <c:y val="0.359631715166641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5975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Body Mass vs. Basal</a:t>
            </a:r>
            <a:r>
              <a:rPr lang="en-US" baseline="0"/>
              <a:t> FGCs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4.3943649903135339E-2"/>
                  <c:y val="-0.30264660062395998"/>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2000" baseline="0"/>
                      <a:t>y = 1502.9x</a:t>
                    </a:r>
                    <a:r>
                      <a:rPr lang="en-US" sz="2000" baseline="30000"/>
                      <a:t>-0.197</a:t>
                    </a:r>
                    <a:br>
                      <a:rPr lang="en-US" sz="2000" baseline="0"/>
                    </a:br>
                    <a:r>
                      <a:rPr lang="en-US" sz="2000" baseline="0"/>
                      <a:t>R² = 0.1469</a:t>
                    </a:r>
                    <a:endParaRPr lang="en-US" sz="20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Sheet'!$X$3:$X$102</c:f>
              <c:numCache>
                <c:formatCode>#,##0</c:formatCode>
                <c:ptCount val="100"/>
                <c:pt idx="0">
                  <c:v>7000</c:v>
                </c:pt>
                <c:pt idx="1">
                  <c:v>750000</c:v>
                </c:pt>
                <c:pt idx="2">
                  <c:v>750000</c:v>
                </c:pt>
                <c:pt idx="3">
                  <c:v>61000</c:v>
                </c:pt>
                <c:pt idx="4">
                  <c:v>1600</c:v>
                </c:pt>
                <c:pt idx="5">
                  <c:v>164500</c:v>
                </c:pt>
                <c:pt idx="6">
                  <c:v>215000</c:v>
                </c:pt>
                <c:pt idx="7">
                  <c:v>21667</c:v>
                </c:pt>
                <c:pt idx="8" formatCode="General">
                  <c:v>728</c:v>
                </c:pt>
                <c:pt idx="9">
                  <c:v>2643</c:v>
                </c:pt>
                <c:pt idx="10">
                  <c:v>5735</c:v>
                </c:pt>
                <c:pt idx="11" formatCode="General">
                  <c:v>64.8</c:v>
                </c:pt>
                <c:pt idx="12">
                  <c:v>61000</c:v>
                </c:pt>
                <c:pt idx="13">
                  <c:v>4175</c:v>
                </c:pt>
                <c:pt idx="14" formatCode="General">
                  <c:v>105</c:v>
                </c:pt>
                <c:pt idx="15">
                  <c:v>164500</c:v>
                </c:pt>
                <c:pt idx="16">
                  <c:v>6500</c:v>
                </c:pt>
                <c:pt idx="17">
                  <c:v>17000</c:v>
                </c:pt>
                <c:pt idx="18">
                  <c:v>102500</c:v>
                </c:pt>
                <c:pt idx="19">
                  <c:v>45.2</c:v>
                </c:pt>
                <c:pt idx="20">
                  <c:v>4500</c:v>
                </c:pt>
                <c:pt idx="21">
                  <c:v>413</c:v>
                </c:pt>
                <c:pt idx="22">
                  <c:v>215000</c:v>
                </c:pt>
                <c:pt idx="23">
                  <c:v>215000</c:v>
                </c:pt>
                <c:pt idx="24">
                  <c:v>2643</c:v>
                </c:pt>
                <c:pt idx="25">
                  <c:v>5735</c:v>
                </c:pt>
                <c:pt idx="26">
                  <c:v>5000</c:v>
                </c:pt>
                <c:pt idx="27">
                  <c:v>139842</c:v>
                </c:pt>
                <c:pt idx="28" formatCode="General">
                  <c:v>64.8</c:v>
                </c:pt>
                <c:pt idx="29">
                  <c:v>2643</c:v>
                </c:pt>
                <c:pt idx="30">
                  <c:v>5735</c:v>
                </c:pt>
                <c:pt idx="31">
                  <c:v>5000</c:v>
                </c:pt>
                <c:pt idx="32">
                  <c:v>139842</c:v>
                </c:pt>
                <c:pt idx="33" formatCode="General">
                  <c:v>64.8</c:v>
                </c:pt>
                <c:pt idx="34">
                  <c:v>5000</c:v>
                </c:pt>
                <c:pt idx="35">
                  <c:v>2643</c:v>
                </c:pt>
                <c:pt idx="36">
                  <c:v>5735</c:v>
                </c:pt>
                <c:pt idx="37">
                  <c:v>139842</c:v>
                </c:pt>
                <c:pt idx="38" formatCode="General">
                  <c:v>64.8</c:v>
                </c:pt>
                <c:pt idx="39">
                  <c:v>119700</c:v>
                </c:pt>
                <c:pt idx="40">
                  <c:v>119700</c:v>
                </c:pt>
                <c:pt idx="41">
                  <c:v>1500</c:v>
                </c:pt>
                <c:pt idx="42">
                  <c:v>10650</c:v>
                </c:pt>
                <c:pt idx="43">
                  <c:v>1602330</c:v>
                </c:pt>
                <c:pt idx="44">
                  <c:v>20200</c:v>
                </c:pt>
                <c:pt idx="45">
                  <c:v>20.87</c:v>
                </c:pt>
                <c:pt idx="46">
                  <c:v>30</c:v>
                </c:pt>
                <c:pt idx="47">
                  <c:v>37</c:v>
                </c:pt>
                <c:pt idx="48" formatCode="General">
                  <c:v>21</c:v>
                </c:pt>
                <c:pt idx="49">
                  <c:v>3178000</c:v>
                </c:pt>
                <c:pt idx="50">
                  <c:v>3178000</c:v>
                </c:pt>
                <c:pt idx="51">
                  <c:v>4175</c:v>
                </c:pt>
                <c:pt idx="52">
                  <c:v>5200</c:v>
                </c:pt>
                <c:pt idx="53">
                  <c:v>164500</c:v>
                </c:pt>
                <c:pt idx="54">
                  <c:v>215000</c:v>
                </c:pt>
                <c:pt idx="55">
                  <c:v>4132</c:v>
                </c:pt>
                <c:pt idx="56">
                  <c:v>45.2</c:v>
                </c:pt>
                <c:pt idx="57" formatCode="General">
                  <c:v>412.5</c:v>
                </c:pt>
                <c:pt idx="58">
                  <c:v>200000</c:v>
                </c:pt>
                <c:pt idx="59" formatCode="General">
                  <c:v>11950</c:v>
                </c:pt>
                <c:pt idx="60">
                  <c:v>200000</c:v>
                </c:pt>
                <c:pt idx="61">
                  <c:v>87000</c:v>
                </c:pt>
                <c:pt idx="62">
                  <c:v>26500</c:v>
                </c:pt>
                <c:pt idx="63">
                  <c:v>17400</c:v>
                </c:pt>
                <c:pt idx="64">
                  <c:v>1100000</c:v>
                </c:pt>
                <c:pt idx="65">
                  <c:v>1300</c:v>
                </c:pt>
                <c:pt idx="66">
                  <c:v>700000</c:v>
                </c:pt>
                <c:pt idx="67">
                  <c:v>81150</c:v>
                </c:pt>
                <c:pt idx="68">
                  <c:v>63000</c:v>
                </c:pt>
                <c:pt idx="69" formatCode="General">
                  <c:v>3940034</c:v>
                </c:pt>
                <c:pt idx="70" formatCode="General">
                  <c:v>2800</c:v>
                </c:pt>
                <c:pt idx="71">
                  <c:v>215000</c:v>
                </c:pt>
                <c:pt idx="72">
                  <c:v>164500</c:v>
                </c:pt>
                <c:pt idx="73">
                  <c:v>139842</c:v>
                </c:pt>
                <c:pt idx="74">
                  <c:v>1332</c:v>
                </c:pt>
                <c:pt idx="75">
                  <c:v>800000</c:v>
                </c:pt>
                <c:pt idx="76">
                  <c:v>315000</c:v>
                </c:pt>
                <c:pt idx="77" formatCode="#,##0.00">
                  <c:v>38446.1</c:v>
                </c:pt>
                <c:pt idx="78">
                  <c:v>3900</c:v>
                </c:pt>
                <c:pt idx="79">
                  <c:v>100000</c:v>
                </c:pt>
                <c:pt idx="80">
                  <c:v>1021</c:v>
                </c:pt>
                <c:pt idx="81">
                  <c:v>19500</c:v>
                </c:pt>
                <c:pt idx="82">
                  <c:v>103750</c:v>
                </c:pt>
                <c:pt idx="83" formatCode="General">
                  <c:v>22983.200000000001</c:v>
                </c:pt>
                <c:pt idx="84">
                  <c:v>776</c:v>
                </c:pt>
                <c:pt idx="85">
                  <c:v>12000</c:v>
                </c:pt>
                <c:pt idx="86">
                  <c:v>117500</c:v>
                </c:pt>
                <c:pt idx="87">
                  <c:v>2175000</c:v>
                </c:pt>
                <c:pt idx="88">
                  <c:v>18000</c:v>
                </c:pt>
                <c:pt idx="89">
                  <c:v>45000</c:v>
                </c:pt>
                <c:pt idx="90">
                  <c:v>444900</c:v>
                </c:pt>
                <c:pt idx="91">
                  <c:v>384000</c:v>
                </c:pt>
                <c:pt idx="92">
                  <c:v>46000</c:v>
                </c:pt>
                <c:pt idx="93">
                  <c:v>43000</c:v>
                </c:pt>
                <c:pt idx="94">
                  <c:v>3500</c:v>
                </c:pt>
                <c:pt idx="95" formatCode="General">
                  <c:v>235</c:v>
                </c:pt>
                <c:pt idx="96">
                  <c:v>177500</c:v>
                </c:pt>
                <c:pt idx="97">
                  <c:v>101250</c:v>
                </c:pt>
                <c:pt idx="98">
                  <c:v>101250</c:v>
                </c:pt>
                <c:pt idx="99">
                  <c:v>277500</c:v>
                </c:pt>
              </c:numCache>
            </c:numRef>
          </c:xVal>
          <c:yVal>
            <c:numRef>
              <c:f>'Old Data Sheet'!$H$3:$H$102</c:f>
              <c:numCache>
                <c:formatCode>General</c:formatCode>
                <c:ptCount val="100"/>
                <c:pt idx="0">
                  <c:v>0</c:v>
                </c:pt>
                <c:pt idx="2">
                  <c:v>96.4</c:v>
                </c:pt>
                <c:pt idx="3">
                  <c:v>124</c:v>
                </c:pt>
                <c:pt idx="5">
                  <c:v>530</c:v>
                </c:pt>
                <c:pt idx="6">
                  <c:v>43.5</c:v>
                </c:pt>
                <c:pt idx="12">
                  <c:v>316</c:v>
                </c:pt>
                <c:pt idx="13">
                  <c:v>54.6</c:v>
                </c:pt>
                <c:pt idx="14">
                  <c:v>204.55</c:v>
                </c:pt>
                <c:pt idx="15">
                  <c:v>1050</c:v>
                </c:pt>
                <c:pt idx="16">
                  <c:v>84.5</c:v>
                </c:pt>
                <c:pt idx="17">
                  <c:v>181.5</c:v>
                </c:pt>
                <c:pt idx="18">
                  <c:v>130.333</c:v>
                </c:pt>
                <c:pt idx="19">
                  <c:v>1077.33</c:v>
                </c:pt>
                <c:pt idx="21">
                  <c:v>46.314999999999998</c:v>
                </c:pt>
                <c:pt idx="22">
                  <c:v>147.15</c:v>
                </c:pt>
                <c:pt idx="23">
                  <c:v>27</c:v>
                </c:pt>
                <c:pt idx="24">
                  <c:v>165</c:v>
                </c:pt>
                <c:pt idx="25">
                  <c:v>3125</c:v>
                </c:pt>
                <c:pt idx="26">
                  <c:v>917.5</c:v>
                </c:pt>
                <c:pt idx="27">
                  <c:v>620</c:v>
                </c:pt>
                <c:pt idx="28">
                  <c:v>200</c:v>
                </c:pt>
                <c:pt idx="29">
                  <c:v>935</c:v>
                </c:pt>
                <c:pt idx="30">
                  <c:v>1120</c:v>
                </c:pt>
                <c:pt idx="31">
                  <c:v>1270</c:v>
                </c:pt>
                <c:pt idx="32">
                  <c:v>450</c:v>
                </c:pt>
                <c:pt idx="33">
                  <c:v>120</c:v>
                </c:pt>
                <c:pt idx="39">
                  <c:v>101.455</c:v>
                </c:pt>
                <c:pt idx="40">
                  <c:v>101.44499999999999</c:v>
                </c:pt>
                <c:pt idx="42">
                  <c:v>1711.15</c:v>
                </c:pt>
                <c:pt idx="44">
                  <c:v>35.9</c:v>
                </c:pt>
                <c:pt idx="50">
                  <c:v>126.7</c:v>
                </c:pt>
                <c:pt idx="51">
                  <c:v>66.599999999999994</c:v>
                </c:pt>
                <c:pt idx="52">
                  <c:v>695</c:v>
                </c:pt>
                <c:pt idx="53">
                  <c:v>435</c:v>
                </c:pt>
                <c:pt idx="54">
                  <c:v>40.700000000000003</c:v>
                </c:pt>
                <c:pt idx="55">
                  <c:v>475</c:v>
                </c:pt>
                <c:pt idx="56">
                  <c:v>3524.28</c:v>
                </c:pt>
                <c:pt idx="60">
                  <c:v>26.03</c:v>
                </c:pt>
                <c:pt idx="61">
                  <c:v>67.5</c:v>
                </c:pt>
                <c:pt idx="62">
                  <c:v>267.75</c:v>
                </c:pt>
                <c:pt idx="66">
                  <c:v>40.19</c:v>
                </c:pt>
                <c:pt idx="69">
                  <c:v>332</c:v>
                </c:pt>
                <c:pt idx="71">
                  <c:v>109.05</c:v>
                </c:pt>
                <c:pt idx="72">
                  <c:v>670</c:v>
                </c:pt>
                <c:pt idx="74">
                  <c:v>1088.4000000000001</c:v>
                </c:pt>
                <c:pt idx="75">
                  <c:v>88.4833</c:v>
                </c:pt>
                <c:pt idx="76">
                  <c:v>168.434</c:v>
                </c:pt>
                <c:pt idx="78">
                  <c:v>568.29999999999995</c:v>
                </c:pt>
                <c:pt idx="79">
                  <c:v>112.8</c:v>
                </c:pt>
                <c:pt idx="80">
                  <c:v>272</c:v>
                </c:pt>
                <c:pt idx="81">
                  <c:v>551</c:v>
                </c:pt>
                <c:pt idx="82">
                  <c:v>125.80000000000001</c:v>
                </c:pt>
                <c:pt idx="83">
                  <c:v>528.35</c:v>
                </c:pt>
                <c:pt idx="84">
                  <c:v>285.2</c:v>
                </c:pt>
                <c:pt idx="87">
                  <c:v>12.7</c:v>
                </c:pt>
                <c:pt idx="90">
                  <c:v>24.02</c:v>
                </c:pt>
                <c:pt idx="97">
                  <c:v>60.66</c:v>
                </c:pt>
                <c:pt idx="98">
                  <c:v>41.3</c:v>
                </c:pt>
              </c:numCache>
            </c:numRef>
          </c:yVal>
          <c:smooth val="0"/>
          <c:extLst>
            <c:ext xmlns:c16="http://schemas.microsoft.com/office/drawing/2014/chart" uri="{C3380CC4-5D6E-409C-BE32-E72D297353CC}">
              <c16:uniqueId val="{00000000-66B8-094E-82FA-612AE03CDC79}"/>
            </c:ext>
          </c:extLst>
        </c:ser>
        <c:dLbls>
          <c:showLegendKey val="0"/>
          <c:showVal val="0"/>
          <c:showCatName val="0"/>
          <c:showSerName val="0"/>
          <c:showPercent val="0"/>
          <c:showBubbleSize val="0"/>
        </c:dLbls>
        <c:axId val="2060154031"/>
        <c:axId val="2059787727"/>
      </c:scatterChart>
      <c:valAx>
        <c:axId val="2060154031"/>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Body</a:t>
                </a:r>
                <a:r>
                  <a:rPr lang="en-US" baseline="0"/>
                  <a:t> Mass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787727"/>
        <c:crosses val="autoZero"/>
        <c:crossBetween val="midCat"/>
      </c:valAx>
      <c:valAx>
        <c:axId val="2059787727"/>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Basal</a:t>
                </a:r>
                <a:r>
                  <a:rPr lang="en-US" baseline="0"/>
                  <a:t> FGCs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1540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Body Mass vs. ELevated FGCs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2.5443963167160175E-2"/>
                  <c:y val="-0.30782658036419441"/>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2000" baseline="0"/>
                      <a:t>y = 9260.5x</a:t>
                    </a:r>
                    <a:r>
                      <a:rPr lang="en-US" sz="2000" baseline="30000"/>
                      <a:t>-0.239</a:t>
                    </a:r>
                    <a:br>
                      <a:rPr lang="en-US" sz="2000" baseline="0"/>
                    </a:br>
                    <a:r>
                      <a:rPr lang="en-US" sz="2000" baseline="0"/>
                      <a:t>R² = 0.0184</a:t>
                    </a:r>
                    <a:endParaRPr lang="en-US" sz="20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Sheet'!$X$3:$X$102</c:f>
              <c:numCache>
                <c:formatCode>#,##0</c:formatCode>
                <c:ptCount val="100"/>
                <c:pt idx="0">
                  <c:v>7000</c:v>
                </c:pt>
                <c:pt idx="1">
                  <c:v>750000</c:v>
                </c:pt>
                <c:pt idx="2">
                  <c:v>750000</c:v>
                </c:pt>
                <c:pt idx="3">
                  <c:v>61000</c:v>
                </c:pt>
                <c:pt idx="4">
                  <c:v>1600</c:v>
                </c:pt>
                <c:pt idx="5">
                  <c:v>164500</c:v>
                </c:pt>
                <c:pt idx="6">
                  <c:v>215000</c:v>
                </c:pt>
                <c:pt idx="7">
                  <c:v>21667</c:v>
                </c:pt>
                <c:pt idx="8" formatCode="General">
                  <c:v>728</c:v>
                </c:pt>
                <c:pt idx="9">
                  <c:v>2643</c:v>
                </c:pt>
                <c:pt idx="10">
                  <c:v>5735</c:v>
                </c:pt>
                <c:pt idx="11" formatCode="General">
                  <c:v>64.8</c:v>
                </c:pt>
                <c:pt idx="12">
                  <c:v>61000</c:v>
                </c:pt>
                <c:pt idx="13">
                  <c:v>4175</c:v>
                </c:pt>
                <c:pt idx="14" formatCode="General">
                  <c:v>105</c:v>
                </c:pt>
                <c:pt idx="15">
                  <c:v>164500</c:v>
                </c:pt>
                <c:pt idx="16">
                  <c:v>6500</c:v>
                </c:pt>
                <c:pt idx="17">
                  <c:v>17000</c:v>
                </c:pt>
                <c:pt idx="18">
                  <c:v>102500</c:v>
                </c:pt>
                <c:pt idx="19">
                  <c:v>45.2</c:v>
                </c:pt>
                <c:pt idx="20">
                  <c:v>4500</c:v>
                </c:pt>
                <c:pt idx="21">
                  <c:v>413</c:v>
                </c:pt>
                <c:pt idx="22">
                  <c:v>215000</c:v>
                </c:pt>
                <c:pt idx="23">
                  <c:v>215000</c:v>
                </c:pt>
                <c:pt idx="24">
                  <c:v>2643</c:v>
                </c:pt>
                <c:pt idx="25">
                  <c:v>5735</c:v>
                </c:pt>
                <c:pt idx="26">
                  <c:v>5000</c:v>
                </c:pt>
                <c:pt idx="27">
                  <c:v>139842</c:v>
                </c:pt>
                <c:pt idx="28" formatCode="General">
                  <c:v>64.8</c:v>
                </c:pt>
                <c:pt idx="29">
                  <c:v>2643</c:v>
                </c:pt>
                <c:pt idx="30">
                  <c:v>5735</c:v>
                </c:pt>
                <c:pt idx="31">
                  <c:v>5000</c:v>
                </c:pt>
                <c:pt idx="32">
                  <c:v>139842</c:v>
                </c:pt>
                <c:pt idx="33" formatCode="General">
                  <c:v>64.8</c:v>
                </c:pt>
                <c:pt idx="34">
                  <c:v>5000</c:v>
                </c:pt>
                <c:pt idx="35">
                  <c:v>2643</c:v>
                </c:pt>
                <c:pt idx="36">
                  <c:v>5735</c:v>
                </c:pt>
                <c:pt idx="37">
                  <c:v>139842</c:v>
                </c:pt>
                <c:pt idx="38" formatCode="General">
                  <c:v>64.8</c:v>
                </c:pt>
                <c:pt idx="39">
                  <c:v>119700</c:v>
                </c:pt>
                <c:pt idx="40">
                  <c:v>119700</c:v>
                </c:pt>
                <c:pt idx="41">
                  <c:v>1500</c:v>
                </c:pt>
                <c:pt idx="42">
                  <c:v>10650</c:v>
                </c:pt>
                <c:pt idx="43">
                  <c:v>1602330</c:v>
                </c:pt>
                <c:pt idx="44">
                  <c:v>20200</c:v>
                </c:pt>
                <c:pt idx="45">
                  <c:v>20.87</c:v>
                </c:pt>
                <c:pt idx="46">
                  <c:v>30</c:v>
                </c:pt>
                <c:pt idx="47">
                  <c:v>37</c:v>
                </c:pt>
                <c:pt idx="48" formatCode="General">
                  <c:v>21</c:v>
                </c:pt>
                <c:pt idx="49">
                  <c:v>3178000</c:v>
                </c:pt>
                <c:pt idx="50">
                  <c:v>3178000</c:v>
                </c:pt>
                <c:pt idx="51">
                  <c:v>4175</c:v>
                </c:pt>
                <c:pt idx="52">
                  <c:v>5200</c:v>
                </c:pt>
                <c:pt idx="53">
                  <c:v>164500</c:v>
                </c:pt>
                <c:pt idx="54">
                  <c:v>215000</c:v>
                </c:pt>
                <c:pt idx="55">
                  <c:v>4132</c:v>
                </c:pt>
                <c:pt idx="56">
                  <c:v>45.2</c:v>
                </c:pt>
                <c:pt idx="57" formatCode="General">
                  <c:v>412.5</c:v>
                </c:pt>
                <c:pt idx="58">
                  <c:v>200000</c:v>
                </c:pt>
                <c:pt idx="59" formatCode="General">
                  <c:v>11950</c:v>
                </c:pt>
                <c:pt idx="60">
                  <c:v>200000</c:v>
                </c:pt>
                <c:pt idx="61">
                  <c:v>87000</c:v>
                </c:pt>
                <c:pt idx="62">
                  <c:v>26500</c:v>
                </c:pt>
                <c:pt idx="63">
                  <c:v>17400</c:v>
                </c:pt>
                <c:pt idx="64">
                  <c:v>1100000</c:v>
                </c:pt>
                <c:pt idx="65">
                  <c:v>1300</c:v>
                </c:pt>
                <c:pt idx="66">
                  <c:v>700000</c:v>
                </c:pt>
                <c:pt idx="67">
                  <c:v>81150</c:v>
                </c:pt>
                <c:pt idx="68">
                  <c:v>63000</c:v>
                </c:pt>
                <c:pt idx="69" formatCode="General">
                  <c:v>3940034</c:v>
                </c:pt>
                <c:pt idx="70" formatCode="General">
                  <c:v>2800</c:v>
                </c:pt>
                <c:pt idx="71">
                  <c:v>215000</c:v>
                </c:pt>
                <c:pt idx="72">
                  <c:v>164500</c:v>
                </c:pt>
                <c:pt idx="73">
                  <c:v>139842</c:v>
                </c:pt>
                <c:pt idx="74">
                  <c:v>1332</c:v>
                </c:pt>
                <c:pt idx="75">
                  <c:v>800000</c:v>
                </c:pt>
                <c:pt idx="76">
                  <c:v>315000</c:v>
                </c:pt>
                <c:pt idx="77" formatCode="#,##0.00">
                  <c:v>38446.1</c:v>
                </c:pt>
                <c:pt idx="78">
                  <c:v>3900</c:v>
                </c:pt>
                <c:pt idx="79">
                  <c:v>100000</c:v>
                </c:pt>
                <c:pt idx="80">
                  <c:v>1021</c:v>
                </c:pt>
                <c:pt idx="81">
                  <c:v>19500</c:v>
                </c:pt>
                <c:pt idx="82">
                  <c:v>103750</c:v>
                </c:pt>
                <c:pt idx="83" formatCode="General">
                  <c:v>22983.200000000001</c:v>
                </c:pt>
                <c:pt idx="84">
                  <c:v>776</c:v>
                </c:pt>
                <c:pt idx="85">
                  <c:v>12000</c:v>
                </c:pt>
                <c:pt idx="86">
                  <c:v>117500</c:v>
                </c:pt>
                <c:pt idx="87">
                  <c:v>2175000</c:v>
                </c:pt>
                <c:pt idx="88">
                  <c:v>18000</c:v>
                </c:pt>
                <c:pt idx="89">
                  <c:v>45000</c:v>
                </c:pt>
                <c:pt idx="90">
                  <c:v>444900</c:v>
                </c:pt>
                <c:pt idx="91">
                  <c:v>384000</c:v>
                </c:pt>
                <c:pt idx="92">
                  <c:v>46000</c:v>
                </c:pt>
                <c:pt idx="93">
                  <c:v>43000</c:v>
                </c:pt>
                <c:pt idx="94">
                  <c:v>3500</c:v>
                </c:pt>
                <c:pt idx="95" formatCode="General">
                  <c:v>235</c:v>
                </c:pt>
                <c:pt idx="96">
                  <c:v>177500</c:v>
                </c:pt>
                <c:pt idx="97">
                  <c:v>101250</c:v>
                </c:pt>
                <c:pt idx="98">
                  <c:v>101250</c:v>
                </c:pt>
                <c:pt idx="99">
                  <c:v>277500</c:v>
                </c:pt>
              </c:numCache>
            </c:numRef>
          </c:xVal>
          <c:yVal>
            <c:numRef>
              <c:f>'Old Data Sheet'!$I$3:$I$102</c:f>
              <c:numCache>
                <c:formatCode>General</c:formatCode>
                <c:ptCount val="100"/>
                <c:pt idx="0">
                  <c:v>1650</c:v>
                </c:pt>
                <c:pt idx="3">
                  <c:v>1096</c:v>
                </c:pt>
                <c:pt idx="5">
                  <c:v>4610</c:v>
                </c:pt>
                <c:pt idx="6">
                  <c:v>245.8</c:v>
                </c:pt>
                <c:pt idx="12">
                  <c:v>2423</c:v>
                </c:pt>
                <c:pt idx="13">
                  <c:v>88.2</c:v>
                </c:pt>
                <c:pt idx="14">
                  <c:v>346</c:v>
                </c:pt>
                <c:pt idx="15">
                  <c:v>4270</c:v>
                </c:pt>
                <c:pt idx="16">
                  <c:v>1638.53</c:v>
                </c:pt>
                <c:pt idx="17">
                  <c:v>770.5</c:v>
                </c:pt>
                <c:pt idx="19">
                  <c:v>1838.98</c:v>
                </c:pt>
                <c:pt idx="21">
                  <c:v>87.643000000000001</c:v>
                </c:pt>
                <c:pt idx="22">
                  <c:v>333.35</c:v>
                </c:pt>
                <c:pt idx="23">
                  <c:v>109.7</c:v>
                </c:pt>
                <c:pt idx="24">
                  <c:v>718.5</c:v>
                </c:pt>
                <c:pt idx="25">
                  <c:v>24310</c:v>
                </c:pt>
                <c:pt idx="26">
                  <c:v>2312.5</c:v>
                </c:pt>
                <c:pt idx="27">
                  <c:v>1800</c:v>
                </c:pt>
                <c:pt idx="28">
                  <c:v>4500</c:v>
                </c:pt>
                <c:pt idx="29">
                  <c:v>38110</c:v>
                </c:pt>
                <c:pt idx="30">
                  <c:v>9735</c:v>
                </c:pt>
                <c:pt idx="31">
                  <c:v>4410</c:v>
                </c:pt>
                <c:pt idx="32">
                  <c:v>1890</c:v>
                </c:pt>
                <c:pt idx="33">
                  <c:v>1680</c:v>
                </c:pt>
                <c:pt idx="42">
                  <c:v>7137.67</c:v>
                </c:pt>
                <c:pt idx="44">
                  <c:v>96.3</c:v>
                </c:pt>
                <c:pt idx="51">
                  <c:v>136.80000000000001</c:v>
                </c:pt>
                <c:pt idx="52">
                  <c:v>2414</c:v>
                </c:pt>
                <c:pt idx="53">
                  <c:v>1870</c:v>
                </c:pt>
                <c:pt idx="54">
                  <c:v>171.5</c:v>
                </c:pt>
                <c:pt idx="55">
                  <c:v>2143</c:v>
                </c:pt>
                <c:pt idx="56">
                  <c:v>7682.35</c:v>
                </c:pt>
                <c:pt idx="61">
                  <c:v>190.25</c:v>
                </c:pt>
                <c:pt idx="62">
                  <c:v>4446</c:v>
                </c:pt>
                <c:pt idx="66">
                  <c:v>250.29400000000001</c:v>
                </c:pt>
                <c:pt idx="71">
                  <c:v>303.09999999999997</c:v>
                </c:pt>
                <c:pt idx="72">
                  <c:v>1435</c:v>
                </c:pt>
                <c:pt idx="74">
                  <c:v>2224.1999999999998</c:v>
                </c:pt>
                <c:pt idx="75">
                  <c:v>228.1</c:v>
                </c:pt>
                <c:pt idx="76">
                  <c:v>74.696899999999999</c:v>
                </c:pt>
                <c:pt idx="78">
                  <c:v>929.1</c:v>
                </c:pt>
                <c:pt idx="79">
                  <c:v>2095.3000000000002</c:v>
                </c:pt>
                <c:pt idx="80">
                  <c:v>499.3</c:v>
                </c:pt>
                <c:pt idx="81">
                  <c:v>2722.5</c:v>
                </c:pt>
                <c:pt idx="82">
                  <c:v>582.40000000000009</c:v>
                </c:pt>
                <c:pt idx="83">
                  <c:v>1654.65</c:v>
                </c:pt>
                <c:pt idx="84">
                  <c:v>3286.9</c:v>
                </c:pt>
                <c:pt idx="87">
                  <c:v>55.5</c:v>
                </c:pt>
                <c:pt idx="90">
                  <c:v>33.51</c:v>
                </c:pt>
                <c:pt idx="97">
                  <c:v>82.6</c:v>
                </c:pt>
                <c:pt idx="98">
                  <c:v>137.80000000000001</c:v>
                </c:pt>
              </c:numCache>
            </c:numRef>
          </c:yVal>
          <c:smooth val="0"/>
          <c:extLst>
            <c:ext xmlns:c16="http://schemas.microsoft.com/office/drawing/2014/chart" uri="{C3380CC4-5D6E-409C-BE32-E72D297353CC}">
              <c16:uniqueId val="{00000000-D56C-4041-80E5-4E91C48711A9}"/>
            </c:ext>
          </c:extLst>
        </c:ser>
        <c:dLbls>
          <c:showLegendKey val="0"/>
          <c:showVal val="0"/>
          <c:showCatName val="0"/>
          <c:showSerName val="0"/>
          <c:showPercent val="0"/>
          <c:showBubbleSize val="0"/>
        </c:dLbls>
        <c:axId val="2118569343"/>
        <c:axId val="2118785359"/>
      </c:scatterChart>
      <c:valAx>
        <c:axId val="2118569343"/>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Body</a:t>
                </a:r>
                <a:r>
                  <a:rPr lang="en-US" baseline="0"/>
                  <a:t> Mass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85359"/>
        <c:crosses val="autoZero"/>
        <c:crossBetween val="midCat"/>
      </c:valAx>
      <c:valAx>
        <c:axId val="2118785359"/>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Elevated</a:t>
                </a:r>
                <a:r>
                  <a:rPr lang="en-US" baseline="0"/>
                  <a:t> FGCs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5693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600" b="0" i="0" u="none" strike="noStrike" kern="1200" spc="0" baseline="0">
                <a:solidFill>
                  <a:schemeClr val="tx1"/>
                </a:solidFill>
                <a:latin typeface="+mn-lt"/>
                <a:ea typeface="+mn-ea"/>
                <a:cs typeface="+mn-cs"/>
              </a:defRPr>
            </a:pPr>
            <a:r>
              <a:rPr lang="en-US" sz="3600" b="1" i="0">
                <a:latin typeface="PT Sans" panose="020B0503020203020204" pitchFamily="34" charset="77"/>
              </a:rPr>
              <a:t>Body</a:t>
            </a:r>
            <a:r>
              <a:rPr lang="en-US" sz="3600" b="1" i="0" baseline="0">
                <a:latin typeface="PT Sans" panose="020B0503020203020204" pitchFamily="34" charset="77"/>
              </a:rPr>
              <a:t> Mass vs. Metabolic Rate</a:t>
            </a:r>
            <a:endParaRPr lang="en-US" sz="3600" b="1" i="0">
              <a:latin typeface="PT Sans" panose="020B0503020203020204" pitchFamily="34" charset="77"/>
            </a:endParaRPr>
          </a:p>
        </c:rich>
      </c:tx>
      <c:overlay val="0"/>
      <c:spPr>
        <a:noFill/>
        <a:ln>
          <a:noFill/>
        </a:ln>
        <a:effectLst/>
      </c:spPr>
      <c:txPr>
        <a:bodyPr rot="0" spcFirstLastPara="1" vertOverflow="ellipsis" vert="horz" wrap="square" anchor="ctr" anchorCtr="1"/>
        <a:lstStyle/>
        <a:p>
          <a:pPr>
            <a:defRPr sz="36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Pt>
            <c:idx val="21"/>
            <c:marker>
              <c:symbol val="circle"/>
              <c:size val="5"/>
              <c:spPr>
                <a:solidFill>
                  <a:srgbClr val="0070C0"/>
                </a:solidFill>
                <a:ln w="9525">
                  <a:solidFill>
                    <a:schemeClr val="accent1"/>
                  </a:solidFill>
                </a:ln>
                <a:effectLst/>
              </c:spPr>
            </c:marker>
            <c:bubble3D val="0"/>
            <c:extLst>
              <c:ext xmlns:c16="http://schemas.microsoft.com/office/drawing/2014/chart" uri="{C3380CC4-5D6E-409C-BE32-E72D297353CC}">
                <c16:uniqueId val="{00000002-45F0-E747-A46A-EFD1B1972AE7}"/>
              </c:ext>
            </c:extLst>
          </c:dPt>
          <c:trendline>
            <c:spPr>
              <a:ln w="19050" cap="rnd">
                <a:solidFill>
                  <a:schemeClr val="accent1"/>
                </a:solidFill>
                <a:prstDash val="sysDot"/>
              </a:ln>
              <a:effectLst/>
            </c:spPr>
            <c:trendlineType val="power"/>
            <c:dispRSqr val="0"/>
            <c:dispEq val="0"/>
          </c:trendline>
          <c:xVal>
            <c:numRef>
              <c:f>'Old Data Sheet'!$X$3:$X$102</c:f>
              <c:numCache>
                <c:formatCode>#,##0</c:formatCode>
                <c:ptCount val="100"/>
                <c:pt idx="0">
                  <c:v>7000</c:v>
                </c:pt>
                <c:pt idx="1">
                  <c:v>750000</c:v>
                </c:pt>
                <c:pt idx="2">
                  <c:v>750000</c:v>
                </c:pt>
                <c:pt idx="3">
                  <c:v>61000</c:v>
                </c:pt>
                <c:pt idx="4">
                  <c:v>1600</c:v>
                </c:pt>
                <c:pt idx="5">
                  <c:v>164500</c:v>
                </c:pt>
                <c:pt idx="6">
                  <c:v>215000</c:v>
                </c:pt>
                <c:pt idx="7">
                  <c:v>21667</c:v>
                </c:pt>
                <c:pt idx="8" formatCode="General">
                  <c:v>728</c:v>
                </c:pt>
                <c:pt idx="9">
                  <c:v>2643</c:v>
                </c:pt>
                <c:pt idx="10">
                  <c:v>5735</c:v>
                </c:pt>
                <c:pt idx="11" formatCode="General">
                  <c:v>64.8</c:v>
                </c:pt>
                <c:pt idx="12">
                  <c:v>61000</c:v>
                </c:pt>
                <c:pt idx="13">
                  <c:v>4175</c:v>
                </c:pt>
                <c:pt idx="14" formatCode="General">
                  <c:v>105</c:v>
                </c:pt>
                <c:pt idx="15">
                  <c:v>164500</c:v>
                </c:pt>
                <c:pt idx="16">
                  <c:v>6500</c:v>
                </c:pt>
                <c:pt idx="17">
                  <c:v>17000</c:v>
                </c:pt>
                <c:pt idx="18">
                  <c:v>102500</c:v>
                </c:pt>
                <c:pt idx="19">
                  <c:v>45.2</c:v>
                </c:pt>
                <c:pt idx="20">
                  <c:v>4500</c:v>
                </c:pt>
                <c:pt idx="21">
                  <c:v>413</c:v>
                </c:pt>
                <c:pt idx="22">
                  <c:v>215000</c:v>
                </c:pt>
                <c:pt idx="23">
                  <c:v>215000</c:v>
                </c:pt>
                <c:pt idx="24">
                  <c:v>2643</c:v>
                </c:pt>
                <c:pt idx="25">
                  <c:v>5735</c:v>
                </c:pt>
                <c:pt idx="26">
                  <c:v>5000</c:v>
                </c:pt>
                <c:pt idx="27">
                  <c:v>139842</c:v>
                </c:pt>
                <c:pt idx="28" formatCode="General">
                  <c:v>64.8</c:v>
                </c:pt>
                <c:pt idx="29">
                  <c:v>2643</c:v>
                </c:pt>
                <c:pt idx="30">
                  <c:v>5735</c:v>
                </c:pt>
                <c:pt idx="31">
                  <c:v>5000</c:v>
                </c:pt>
                <c:pt idx="32">
                  <c:v>139842</c:v>
                </c:pt>
                <c:pt idx="33" formatCode="General">
                  <c:v>64.8</c:v>
                </c:pt>
                <c:pt idx="34">
                  <c:v>5000</c:v>
                </c:pt>
                <c:pt idx="35">
                  <c:v>2643</c:v>
                </c:pt>
                <c:pt idx="36">
                  <c:v>5735</c:v>
                </c:pt>
                <c:pt idx="37">
                  <c:v>139842</c:v>
                </c:pt>
                <c:pt idx="38" formatCode="General">
                  <c:v>64.8</c:v>
                </c:pt>
                <c:pt idx="39">
                  <c:v>119700</c:v>
                </c:pt>
                <c:pt idx="40">
                  <c:v>119700</c:v>
                </c:pt>
                <c:pt idx="41">
                  <c:v>1500</c:v>
                </c:pt>
                <c:pt idx="42">
                  <c:v>10650</c:v>
                </c:pt>
                <c:pt idx="43">
                  <c:v>1602330</c:v>
                </c:pt>
                <c:pt idx="44">
                  <c:v>20200</c:v>
                </c:pt>
                <c:pt idx="45">
                  <c:v>20.87</c:v>
                </c:pt>
                <c:pt idx="46">
                  <c:v>30</c:v>
                </c:pt>
                <c:pt idx="47">
                  <c:v>37</c:v>
                </c:pt>
                <c:pt idx="48" formatCode="General">
                  <c:v>21</c:v>
                </c:pt>
                <c:pt idx="49">
                  <c:v>3178000</c:v>
                </c:pt>
                <c:pt idx="50">
                  <c:v>3178000</c:v>
                </c:pt>
                <c:pt idx="51">
                  <c:v>4175</c:v>
                </c:pt>
                <c:pt idx="52">
                  <c:v>5200</c:v>
                </c:pt>
                <c:pt idx="53">
                  <c:v>164500</c:v>
                </c:pt>
                <c:pt idx="54">
                  <c:v>215000</c:v>
                </c:pt>
                <c:pt idx="55">
                  <c:v>4132</c:v>
                </c:pt>
                <c:pt idx="56">
                  <c:v>45.2</c:v>
                </c:pt>
                <c:pt idx="57" formatCode="General">
                  <c:v>412.5</c:v>
                </c:pt>
                <c:pt idx="58">
                  <c:v>200000</c:v>
                </c:pt>
                <c:pt idx="59" formatCode="General">
                  <c:v>11950</c:v>
                </c:pt>
                <c:pt idx="60">
                  <c:v>200000</c:v>
                </c:pt>
                <c:pt idx="61">
                  <c:v>87000</c:v>
                </c:pt>
                <c:pt idx="62">
                  <c:v>26500</c:v>
                </c:pt>
                <c:pt idx="63">
                  <c:v>17400</c:v>
                </c:pt>
                <c:pt idx="64">
                  <c:v>1100000</c:v>
                </c:pt>
                <c:pt idx="65">
                  <c:v>1300</c:v>
                </c:pt>
                <c:pt idx="66">
                  <c:v>700000</c:v>
                </c:pt>
                <c:pt idx="67">
                  <c:v>81150</c:v>
                </c:pt>
                <c:pt idx="68">
                  <c:v>63000</c:v>
                </c:pt>
                <c:pt idx="69" formatCode="General">
                  <c:v>3940034</c:v>
                </c:pt>
                <c:pt idx="70" formatCode="General">
                  <c:v>2800</c:v>
                </c:pt>
                <c:pt idx="71">
                  <c:v>215000</c:v>
                </c:pt>
                <c:pt idx="72">
                  <c:v>164500</c:v>
                </c:pt>
                <c:pt idx="73">
                  <c:v>139842</c:v>
                </c:pt>
                <c:pt idx="74">
                  <c:v>1332</c:v>
                </c:pt>
                <c:pt idx="75">
                  <c:v>800000</c:v>
                </c:pt>
                <c:pt idx="76">
                  <c:v>315000</c:v>
                </c:pt>
                <c:pt idx="77" formatCode="#,##0.00">
                  <c:v>38446.1</c:v>
                </c:pt>
                <c:pt idx="78">
                  <c:v>3900</c:v>
                </c:pt>
                <c:pt idx="79">
                  <c:v>100000</c:v>
                </c:pt>
                <c:pt idx="80">
                  <c:v>1021</c:v>
                </c:pt>
                <c:pt idx="81">
                  <c:v>19500</c:v>
                </c:pt>
                <c:pt idx="82">
                  <c:v>103750</c:v>
                </c:pt>
                <c:pt idx="83" formatCode="General">
                  <c:v>22983.200000000001</c:v>
                </c:pt>
                <c:pt idx="84">
                  <c:v>776</c:v>
                </c:pt>
                <c:pt idx="85">
                  <c:v>12000</c:v>
                </c:pt>
                <c:pt idx="86">
                  <c:v>117500</c:v>
                </c:pt>
                <c:pt idx="87">
                  <c:v>2175000</c:v>
                </c:pt>
                <c:pt idx="88">
                  <c:v>18000</c:v>
                </c:pt>
                <c:pt idx="89">
                  <c:v>45000</c:v>
                </c:pt>
                <c:pt idx="90">
                  <c:v>444900</c:v>
                </c:pt>
                <c:pt idx="91">
                  <c:v>384000</c:v>
                </c:pt>
                <c:pt idx="92">
                  <c:v>46000</c:v>
                </c:pt>
                <c:pt idx="93">
                  <c:v>43000</c:v>
                </c:pt>
                <c:pt idx="94">
                  <c:v>3500</c:v>
                </c:pt>
                <c:pt idx="95" formatCode="General">
                  <c:v>235</c:v>
                </c:pt>
                <c:pt idx="96">
                  <c:v>177500</c:v>
                </c:pt>
                <c:pt idx="97">
                  <c:v>101250</c:v>
                </c:pt>
                <c:pt idx="98">
                  <c:v>101250</c:v>
                </c:pt>
                <c:pt idx="99">
                  <c:v>277500</c:v>
                </c:pt>
              </c:numCache>
            </c:numRef>
          </c:xVal>
          <c:yVal>
            <c:numRef>
              <c:f>'Old Data Sheet'!$Y$3:$Y$101</c:f>
              <c:numCache>
                <c:formatCode>General</c:formatCode>
                <c:ptCount val="99"/>
                <c:pt idx="1">
                  <c:v>8.8400000000000002E-4</c:v>
                </c:pt>
                <c:pt idx="2">
                  <c:v>8.8400000000000002E-4</c:v>
                </c:pt>
                <c:pt idx="4">
                  <c:v>4.1840000000000002E-3</c:v>
                </c:pt>
                <c:pt idx="5">
                  <c:v>1.1709999999999999E-3</c:v>
                </c:pt>
                <c:pt idx="7">
                  <c:v>2.1559999999999999E-3</c:v>
                </c:pt>
                <c:pt idx="8">
                  <c:v>3.333E-3</c:v>
                </c:pt>
                <c:pt idx="13">
                  <c:v>2.8010000000000001E-3</c:v>
                </c:pt>
                <c:pt idx="14">
                  <c:v>6.3769999999999999E-3</c:v>
                </c:pt>
                <c:pt idx="15">
                  <c:v>1.1709999999999999E-3</c:v>
                </c:pt>
                <c:pt idx="16">
                  <c:v>1.562E-3</c:v>
                </c:pt>
                <c:pt idx="19">
                  <c:v>6.143E-3</c:v>
                </c:pt>
                <c:pt idx="20">
                  <c:v>1.433E-3</c:v>
                </c:pt>
                <c:pt idx="21">
                  <c:v>4.4999999999999997E-3</c:v>
                </c:pt>
                <c:pt idx="26">
                  <c:v>1.116E-3</c:v>
                </c:pt>
                <c:pt idx="31">
                  <c:v>1.116E-3</c:v>
                </c:pt>
                <c:pt idx="34">
                  <c:v>1.116E-3</c:v>
                </c:pt>
                <c:pt idx="39">
                  <c:v>9.7099999999999997E-4</c:v>
                </c:pt>
                <c:pt idx="40">
                  <c:v>9.7099999999999997E-4</c:v>
                </c:pt>
                <c:pt idx="41">
                  <c:v>1.01E-3</c:v>
                </c:pt>
                <c:pt idx="44">
                  <c:v>1.6180000000000001E-3</c:v>
                </c:pt>
                <c:pt idx="46">
                  <c:v>7.9799999999999992E-3</c:v>
                </c:pt>
                <c:pt idx="47">
                  <c:v>4.1840000000000002E-3</c:v>
                </c:pt>
                <c:pt idx="48">
                  <c:v>1.0683E-2</c:v>
                </c:pt>
                <c:pt idx="49">
                  <c:v>6.3599999999999996E-4</c:v>
                </c:pt>
                <c:pt idx="50">
                  <c:v>6.3599999999999996E-4</c:v>
                </c:pt>
                <c:pt idx="51">
                  <c:v>2.8010000000000001E-3</c:v>
                </c:pt>
                <c:pt idx="52">
                  <c:v>2.1289999999999998E-3</c:v>
                </c:pt>
                <c:pt idx="53">
                  <c:v>1.1709999999999999E-3</c:v>
                </c:pt>
                <c:pt idx="55">
                  <c:v>2.9979999999999998E-3</c:v>
                </c:pt>
                <c:pt idx="56">
                  <c:v>6.143E-3</c:v>
                </c:pt>
                <c:pt idx="58">
                  <c:v>1.678E-3</c:v>
                </c:pt>
                <c:pt idx="60">
                  <c:v>1.678E-3</c:v>
                </c:pt>
                <c:pt idx="61">
                  <c:v>1.9959999999999999E-3</c:v>
                </c:pt>
                <c:pt idx="62">
                  <c:v>3.7729999999999999E-3</c:v>
                </c:pt>
                <c:pt idx="65">
                  <c:v>2.9889999999999999E-3</c:v>
                </c:pt>
                <c:pt idx="67">
                  <c:v>1.238E-3</c:v>
                </c:pt>
                <c:pt idx="69">
                  <c:v>8.9999999999999998E-4</c:v>
                </c:pt>
                <c:pt idx="72">
                  <c:v>1.1709999999999999E-3</c:v>
                </c:pt>
                <c:pt idx="75">
                  <c:v>8.7399999999999999E-4</c:v>
                </c:pt>
                <c:pt idx="77">
                  <c:v>1.6069999999999999E-3</c:v>
                </c:pt>
                <c:pt idx="79">
                  <c:v>7.0299999999999996E-4</c:v>
                </c:pt>
                <c:pt idx="84">
                  <c:v>2.0339999999999998E-3</c:v>
                </c:pt>
                <c:pt idx="88">
                  <c:v>1.665E-3</c:v>
                </c:pt>
                <c:pt idx="89">
                  <c:v>2.5999999999999999E-3</c:v>
                </c:pt>
                <c:pt idx="90">
                  <c:v>1.4E-3</c:v>
                </c:pt>
                <c:pt idx="94">
                  <c:v>2.0079999999999998E-3</c:v>
                </c:pt>
                <c:pt idx="95">
                  <c:v>4.7999999999999996E-3</c:v>
                </c:pt>
                <c:pt idx="97">
                  <c:v>1.408E-3</c:v>
                </c:pt>
                <c:pt idx="98">
                  <c:v>1.408E-3</c:v>
                </c:pt>
              </c:numCache>
            </c:numRef>
          </c:yVal>
          <c:smooth val="0"/>
          <c:extLst>
            <c:ext xmlns:c16="http://schemas.microsoft.com/office/drawing/2014/chart" uri="{C3380CC4-5D6E-409C-BE32-E72D297353CC}">
              <c16:uniqueId val="{00000000-49EE-F645-8BDA-1EB31AA69C46}"/>
            </c:ext>
          </c:extLst>
        </c:ser>
        <c:dLbls>
          <c:showLegendKey val="0"/>
          <c:showVal val="0"/>
          <c:showCatName val="0"/>
          <c:showSerName val="0"/>
          <c:showPercent val="0"/>
          <c:showBubbleSize val="0"/>
        </c:dLbls>
        <c:axId val="2117452863"/>
        <c:axId val="2053395359"/>
      </c:scatterChart>
      <c:valAx>
        <c:axId val="2117452863"/>
        <c:scaling>
          <c:logBase val="10"/>
          <c:orientation val="minMax"/>
        </c:scaling>
        <c:delete val="0"/>
        <c:axPos val="b"/>
        <c:title>
          <c:tx>
            <c:rich>
              <a:bodyPr rot="0" spcFirstLastPara="1" vertOverflow="ellipsis" vert="horz" wrap="square" anchor="ctr" anchorCtr="1"/>
              <a:lstStyle/>
              <a:p>
                <a:pPr>
                  <a:defRPr sz="2400" b="0" i="0" u="none" strike="noStrike" kern="1200" baseline="0">
                    <a:solidFill>
                      <a:schemeClr val="tx1"/>
                    </a:solidFill>
                    <a:latin typeface="+mn-lt"/>
                    <a:ea typeface="+mn-ea"/>
                    <a:cs typeface="+mn-cs"/>
                  </a:defRPr>
                </a:pPr>
                <a:r>
                  <a:rPr lang="en-US" sz="2400"/>
                  <a:t>Body</a:t>
                </a:r>
                <a:r>
                  <a:rPr lang="en-US" sz="2400" baseline="0"/>
                  <a:t> Mass (g)</a:t>
                </a:r>
                <a:endParaRPr lang="en-US" sz="2400"/>
              </a:p>
            </c:rich>
          </c:tx>
          <c:overlay val="0"/>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31750" cap="flat" cmpd="sng" algn="ctr">
            <a:solidFill>
              <a:schemeClr val="accent5">
                <a:lumMod val="50000"/>
              </a:schemeClr>
            </a:solidFill>
            <a:round/>
          </a:ln>
          <a:effectLst/>
        </c:spPr>
        <c:txPr>
          <a:bodyPr rot="-6000000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crossAx val="2053395359"/>
        <c:crosses val="autoZero"/>
        <c:crossBetween val="midCat"/>
      </c:valAx>
      <c:valAx>
        <c:axId val="2053395359"/>
        <c:scaling>
          <c:logBase val="10"/>
          <c:orientation val="minMax"/>
        </c:scaling>
        <c:delete val="0"/>
        <c:axPos val="l"/>
        <c:title>
          <c:tx>
            <c:rich>
              <a:bodyPr rot="-5400000" spcFirstLastPara="1" vertOverflow="ellipsis" vert="horz" wrap="square" anchor="ctr" anchorCtr="1"/>
              <a:lstStyle/>
              <a:p>
                <a:pPr>
                  <a:defRPr sz="2400" b="0" i="0" u="none" strike="noStrike" kern="1200" baseline="0">
                    <a:solidFill>
                      <a:schemeClr val="tx1"/>
                    </a:solidFill>
                    <a:latin typeface="+mn-lt"/>
                    <a:ea typeface="+mn-ea"/>
                    <a:cs typeface="+mn-cs"/>
                  </a:defRPr>
                </a:pPr>
                <a:r>
                  <a:rPr lang="en-US" sz="2400"/>
                  <a:t>Mass-Specific</a:t>
                </a:r>
                <a:r>
                  <a:rPr lang="en-US" sz="2400" baseline="0"/>
                  <a:t> Metabolic Rate (W/g)</a:t>
                </a:r>
                <a:endParaRPr lang="en-US" sz="2400"/>
              </a:p>
            </c:rich>
          </c:tx>
          <c:overlay val="0"/>
          <c:spPr>
            <a:noFill/>
            <a:ln>
              <a:noFill/>
            </a:ln>
            <a:effectLst/>
          </c:spPr>
          <c:txPr>
            <a:bodyPr rot="-5400000" spcFirstLastPara="1" vertOverflow="ellipsis" vert="horz" wrap="square" anchor="ctr" anchorCtr="1"/>
            <a:lstStyle/>
            <a:p>
              <a:pPr>
                <a:defRPr sz="2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28575" cap="flat" cmpd="sng" algn="ctr">
            <a:solidFill>
              <a:schemeClr val="accent5">
                <a:lumMod val="50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117452863"/>
        <c:crosses val="autoZero"/>
        <c:crossBetween val="midCat"/>
      </c:valAx>
      <c:spPr>
        <a:noFill/>
        <a:ln>
          <a:noFill/>
        </a:ln>
        <a:effectLst>
          <a:outerShdw blurRad="50800" dist="50800" dir="5400000" sx="81000" sy="81000" algn="ctr" rotWithShape="0">
            <a:srgbClr val="000000">
              <a:alpha val="43137"/>
            </a:srgb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Body</a:t>
            </a:r>
            <a:r>
              <a:rPr lang="en-US" baseline="0"/>
              <a:t> Mass vs. Baseline Cortisol+Corticosterone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4.1544353518081646E-2"/>
                  <c:y val="-0.31009029180971481"/>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2000" baseline="0"/>
                      <a:t>y = 10079x</a:t>
                    </a:r>
                    <a:r>
                      <a:rPr lang="en-US" sz="2000" baseline="30000"/>
                      <a:t>-0.373</a:t>
                    </a:r>
                    <a:br>
                      <a:rPr lang="en-US" sz="2000" baseline="0"/>
                    </a:br>
                    <a:r>
                      <a:rPr lang="en-US" sz="2000" baseline="0"/>
                      <a:t>R² = 0.159</a:t>
                    </a:r>
                    <a:endParaRPr lang="en-US" sz="20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Sheet'!$X$3:$X$102</c:f>
              <c:numCache>
                <c:formatCode>#,##0</c:formatCode>
                <c:ptCount val="100"/>
                <c:pt idx="0">
                  <c:v>7000</c:v>
                </c:pt>
                <c:pt idx="1">
                  <c:v>750000</c:v>
                </c:pt>
                <c:pt idx="2">
                  <c:v>750000</c:v>
                </c:pt>
                <c:pt idx="3">
                  <c:v>61000</c:v>
                </c:pt>
                <c:pt idx="4">
                  <c:v>1600</c:v>
                </c:pt>
                <c:pt idx="5">
                  <c:v>164500</c:v>
                </c:pt>
                <c:pt idx="6">
                  <c:v>215000</c:v>
                </c:pt>
                <c:pt idx="7">
                  <c:v>21667</c:v>
                </c:pt>
                <c:pt idx="8" formatCode="General">
                  <c:v>728</c:v>
                </c:pt>
                <c:pt idx="9">
                  <c:v>2643</c:v>
                </c:pt>
                <c:pt idx="10">
                  <c:v>5735</c:v>
                </c:pt>
                <c:pt idx="11" formatCode="General">
                  <c:v>64.8</c:v>
                </c:pt>
                <c:pt idx="12">
                  <c:v>61000</c:v>
                </c:pt>
                <c:pt idx="13">
                  <c:v>4175</c:v>
                </c:pt>
                <c:pt idx="14" formatCode="General">
                  <c:v>105</c:v>
                </c:pt>
                <c:pt idx="15">
                  <c:v>164500</c:v>
                </c:pt>
                <c:pt idx="16">
                  <c:v>6500</c:v>
                </c:pt>
                <c:pt idx="17">
                  <c:v>17000</c:v>
                </c:pt>
                <c:pt idx="18">
                  <c:v>102500</c:v>
                </c:pt>
                <c:pt idx="19">
                  <c:v>45.2</c:v>
                </c:pt>
                <c:pt idx="20">
                  <c:v>4500</c:v>
                </c:pt>
                <c:pt idx="21">
                  <c:v>413</c:v>
                </c:pt>
                <c:pt idx="22">
                  <c:v>215000</c:v>
                </c:pt>
                <c:pt idx="23">
                  <c:v>215000</c:v>
                </c:pt>
                <c:pt idx="24">
                  <c:v>2643</c:v>
                </c:pt>
                <c:pt idx="25">
                  <c:v>5735</c:v>
                </c:pt>
                <c:pt idx="26">
                  <c:v>5000</c:v>
                </c:pt>
                <c:pt idx="27">
                  <c:v>139842</c:v>
                </c:pt>
                <c:pt idx="28" formatCode="General">
                  <c:v>64.8</c:v>
                </c:pt>
                <c:pt idx="29">
                  <c:v>2643</c:v>
                </c:pt>
                <c:pt idx="30">
                  <c:v>5735</c:v>
                </c:pt>
                <c:pt idx="31">
                  <c:v>5000</c:v>
                </c:pt>
                <c:pt idx="32">
                  <c:v>139842</c:v>
                </c:pt>
                <c:pt idx="33" formatCode="General">
                  <c:v>64.8</c:v>
                </c:pt>
                <c:pt idx="34">
                  <c:v>5000</c:v>
                </c:pt>
                <c:pt idx="35">
                  <c:v>2643</c:v>
                </c:pt>
                <c:pt idx="36">
                  <c:v>5735</c:v>
                </c:pt>
                <c:pt idx="37">
                  <c:v>139842</c:v>
                </c:pt>
                <c:pt idx="38" formatCode="General">
                  <c:v>64.8</c:v>
                </c:pt>
                <c:pt idx="39">
                  <c:v>119700</c:v>
                </c:pt>
                <c:pt idx="40">
                  <c:v>119700</c:v>
                </c:pt>
                <c:pt idx="41">
                  <c:v>1500</c:v>
                </c:pt>
                <c:pt idx="42">
                  <c:v>10650</c:v>
                </c:pt>
                <c:pt idx="43">
                  <c:v>1602330</c:v>
                </c:pt>
                <c:pt idx="44">
                  <c:v>20200</c:v>
                </c:pt>
                <c:pt idx="45">
                  <c:v>20.87</c:v>
                </c:pt>
                <c:pt idx="46">
                  <c:v>30</c:v>
                </c:pt>
                <c:pt idx="47">
                  <c:v>37</c:v>
                </c:pt>
                <c:pt idx="48" formatCode="General">
                  <c:v>21</c:v>
                </c:pt>
                <c:pt idx="49">
                  <c:v>3178000</c:v>
                </c:pt>
                <c:pt idx="50">
                  <c:v>3178000</c:v>
                </c:pt>
                <c:pt idx="51">
                  <c:v>4175</c:v>
                </c:pt>
                <c:pt idx="52">
                  <c:v>5200</c:v>
                </c:pt>
                <c:pt idx="53">
                  <c:v>164500</c:v>
                </c:pt>
                <c:pt idx="54">
                  <c:v>215000</c:v>
                </c:pt>
                <c:pt idx="55">
                  <c:v>4132</c:v>
                </c:pt>
                <c:pt idx="56">
                  <c:v>45.2</c:v>
                </c:pt>
                <c:pt idx="57" formatCode="General">
                  <c:v>412.5</c:v>
                </c:pt>
                <c:pt idx="58">
                  <c:v>200000</c:v>
                </c:pt>
                <c:pt idx="59" formatCode="General">
                  <c:v>11950</c:v>
                </c:pt>
                <c:pt idx="60">
                  <c:v>200000</c:v>
                </c:pt>
                <c:pt idx="61">
                  <c:v>87000</c:v>
                </c:pt>
                <c:pt idx="62">
                  <c:v>26500</c:v>
                </c:pt>
                <c:pt idx="63">
                  <c:v>17400</c:v>
                </c:pt>
                <c:pt idx="64">
                  <c:v>1100000</c:v>
                </c:pt>
                <c:pt idx="65">
                  <c:v>1300</c:v>
                </c:pt>
                <c:pt idx="66">
                  <c:v>700000</c:v>
                </c:pt>
                <c:pt idx="67">
                  <c:v>81150</c:v>
                </c:pt>
                <c:pt idx="68">
                  <c:v>63000</c:v>
                </c:pt>
                <c:pt idx="69" formatCode="General">
                  <c:v>3940034</c:v>
                </c:pt>
                <c:pt idx="70" formatCode="General">
                  <c:v>2800</c:v>
                </c:pt>
                <c:pt idx="71">
                  <c:v>215000</c:v>
                </c:pt>
                <c:pt idx="72">
                  <c:v>164500</c:v>
                </c:pt>
                <c:pt idx="73">
                  <c:v>139842</c:v>
                </c:pt>
                <c:pt idx="74">
                  <c:v>1332</c:v>
                </c:pt>
                <c:pt idx="75">
                  <c:v>800000</c:v>
                </c:pt>
                <c:pt idx="76">
                  <c:v>315000</c:v>
                </c:pt>
                <c:pt idx="77" formatCode="#,##0.00">
                  <c:v>38446.1</c:v>
                </c:pt>
                <c:pt idx="78">
                  <c:v>3900</c:v>
                </c:pt>
                <c:pt idx="79">
                  <c:v>100000</c:v>
                </c:pt>
                <c:pt idx="80">
                  <c:v>1021</c:v>
                </c:pt>
                <c:pt idx="81">
                  <c:v>19500</c:v>
                </c:pt>
                <c:pt idx="82">
                  <c:v>103750</c:v>
                </c:pt>
                <c:pt idx="83" formatCode="General">
                  <c:v>22983.200000000001</c:v>
                </c:pt>
                <c:pt idx="84">
                  <c:v>776</c:v>
                </c:pt>
                <c:pt idx="85">
                  <c:v>12000</c:v>
                </c:pt>
                <c:pt idx="86">
                  <c:v>117500</c:v>
                </c:pt>
                <c:pt idx="87">
                  <c:v>2175000</c:v>
                </c:pt>
                <c:pt idx="88">
                  <c:v>18000</c:v>
                </c:pt>
                <c:pt idx="89">
                  <c:v>45000</c:v>
                </c:pt>
                <c:pt idx="90">
                  <c:v>444900</c:v>
                </c:pt>
                <c:pt idx="91">
                  <c:v>384000</c:v>
                </c:pt>
                <c:pt idx="92">
                  <c:v>46000</c:v>
                </c:pt>
                <c:pt idx="93">
                  <c:v>43000</c:v>
                </c:pt>
                <c:pt idx="94">
                  <c:v>3500</c:v>
                </c:pt>
                <c:pt idx="95" formatCode="General">
                  <c:v>235</c:v>
                </c:pt>
                <c:pt idx="96">
                  <c:v>177500</c:v>
                </c:pt>
                <c:pt idx="97">
                  <c:v>101250</c:v>
                </c:pt>
                <c:pt idx="98">
                  <c:v>101250</c:v>
                </c:pt>
                <c:pt idx="99">
                  <c:v>277500</c:v>
                </c:pt>
              </c:numCache>
            </c:numRef>
          </c:xVal>
          <c:yVal>
            <c:numRef>
              <c:f>'Old Data Sheet'!$G$3:$G$102</c:f>
              <c:numCache>
                <c:formatCode>General</c:formatCode>
                <c:ptCount val="100"/>
                <c:pt idx="58">
                  <c:v>5.8605</c:v>
                </c:pt>
                <c:pt idx="71">
                  <c:v>109.05</c:v>
                </c:pt>
                <c:pt idx="72">
                  <c:v>670</c:v>
                </c:pt>
                <c:pt idx="74">
                  <c:v>1088.4000000000001</c:v>
                </c:pt>
                <c:pt idx="75">
                  <c:v>88.483300000000014</c:v>
                </c:pt>
                <c:pt idx="76">
                  <c:v>168.434</c:v>
                </c:pt>
                <c:pt idx="77">
                  <c:v>851.4</c:v>
                </c:pt>
                <c:pt idx="78">
                  <c:v>568.29999999999995</c:v>
                </c:pt>
                <c:pt idx="79">
                  <c:v>112.8</c:v>
                </c:pt>
                <c:pt idx="80">
                  <c:v>272</c:v>
                </c:pt>
                <c:pt idx="81">
                  <c:v>551</c:v>
                </c:pt>
                <c:pt idx="82">
                  <c:v>125.80000000000001</c:v>
                </c:pt>
                <c:pt idx="83">
                  <c:v>528.35</c:v>
                </c:pt>
                <c:pt idx="84">
                  <c:v>285.2</c:v>
                </c:pt>
                <c:pt idx="87">
                  <c:v>12.7</c:v>
                </c:pt>
              </c:numCache>
            </c:numRef>
          </c:yVal>
          <c:smooth val="0"/>
          <c:extLst>
            <c:ext xmlns:c16="http://schemas.microsoft.com/office/drawing/2014/chart" uri="{C3380CC4-5D6E-409C-BE32-E72D297353CC}">
              <c16:uniqueId val="{00000000-4C2D-AA45-8E90-C86A83466673}"/>
            </c:ext>
          </c:extLst>
        </c:ser>
        <c:dLbls>
          <c:showLegendKey val="0"/>
          <c:showVal val="0"/>
          <c:showCatName val="0"/>
          <c:showSerName val="0"/>
          <c:showPercent val="0"/>
          <c:showBubbleSize val="0"/>
        </c:dLbls>
        <c:axId val="2030063919"/>
        <c:axId val="2118732431"/>
      </c:scatterChart>
      <c:valAx>
        <c:axId val="2030063919"/>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Body</a:t>
                </a:r>
                <a:r>
                  <a:rPr lang="en-US" baseline="0"/>
                  <a:t> Mass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32431"/>
        <c:crosses val="autoZero"/>
        <c:crossBetween val="midCat"/>
      </c:valAx>
      <c:valAx>
        <c:axId val="2118732431"/>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Baseline</a:t>
                </a:r>
                <a:r>
                  <a:rPr lang="en-US" baseline="0"/>
                  <a:t> Cortisol+Corticosterone</a:t>
                </a:r>
                <a:endParaRPr lang="en-US"/>
              </a:p>
            </c:rich>
          </c:tx>
          <c:layout>
            <c:manualLayout>
              <c:xMode val="edge"/>
              <c:yMode val="edge"/>
              <c:x val="1.8271824528002703E-2"/>
              <c:y val="0.33471246690909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0639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Metabolic</a:t>
            </a:r>
            <a:r>
              <a:rPr lang="en-US" baseline="0"/>
              <a:t> Rate vs. Basal Cortisol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941013209212379E-2"/>
          <c:y val="7.3334570311102229E-2"/>
          <c:w val="0.92977812044177599"/>
          <c:h val="0.85936623232735665"/>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26366661502170713"/>
                  <c:y val="-0.12959814921128704"/>
                </c:manualLayout>
              </c:layout>
              <c:numFmt formatCode="General" sourceLinked="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Sheet'!$Y$3:$Y$102</c:f>
              <c:numCache>
                <c:formatCode>General</c:formatCode>
                <c:ptCount val="100"/>
                <c:pt idx="1">
                  <c:v>8.8400000000000002E-4</c:v>
                </c:pt>
                <c:pt idx="2">
                  <c:v>8.8400000000000002E-4</c:v>
                </c:pt>
                <c:pt idx="4">
                  <c:v>4.1840000000000002E-3</c:v>
                </c:pt>
                <c:pt idx="5">
                  <c:v>1.1709999999999999E-3</c:v>
                </c:pt>
                <c:pt idx="7">
                  <c:v>2.1559999999999999E-3</c:v>
                </c:pt>
                <c:pt idx="8">
                  <c:v>3.333E-3</c:v>
                </c:pt>
                <c:pt idx="13">
                  <c:v>2.8010000000000001E-3</c:v>
                </c:pt>
                <c:pt idx="14">
                  <c:v>6.3769999999999999E-3</c:v>
                </c:pt>
                <c:pt idx="15">
                  <c:v>1.1709999999999999E-3</c:v>
                </c:pt>
                <c:pt idx="16">
                  <c:v>1.562E-3</c:v>
                </c:pt>
                <c:pt idx="19">
                  <c:v>6.143E-3</c:v>
                </c:pt>
                <c:pt idx="20">
                  <c:v>1.433E-3</c:v>
                </c:pt>
                <c:pt idx="21">
                  <c:v>4.4999999999999997E-3</c:v>
                </c:pt>
                <c:pt idx="26">
                  <c:v>1.116E-3</c:v>
                </c:pt>
                <c:pt idx="31">
                  <c:v>1.116E-3</c:v>
                </c:pt>
                <c:pt idx="34">
                  <c:v>1.116E-3</c:v>
                </c:pt>
                <c:pt idx="39">
                  <c:v>9.7099999999999997E-4</c:v>
                </c:pt>
                <c:pt idx="40">
                  <c:v>9.7099999999999997E-4</c:v>
                </c:pt>
                <c:pt idx="41">
                  <c:v>1.01E-3</c:v>
                </c:pt>
                <c:pt idx="44">
                  <c:v>1.6180000000000001E-3</c:v>
                </c:pt>
                <c:pt idx="46">
                  <c:v>7.9799999999999992E-3</c:v>
                </c:pt>
                <c:pt idx="47">
                  <c:v>4.1840000000000002E-3</c:v>
                </c:pt>
                <c:pt idx="48">
                  <c:v>1.0683E-2</c:v>
                </c:pt>
                <c:pt idx="49">
                  <c:v>6.3599999999999996E-4</c:v>
                </c:pt>
                <c:pt idx="50">
                  <c:v>6.3599999999999996E-4</c:v>
                </c:pt>
                <c:pt idx="51">
                  <c:v>2.8010000000000001E-3</c:v>
                </c:pt>
                <c:pt idx="52">
                  <c:v>2.1289999999999998E-3</c:v>
                </c:pt>
                <c:pt idx="53">
                  <c:v>1.1709999999999999E-3</c:v>
                </c:pt>
                <c:pt idx="55">
                  <c:v>2.9979999999999998E-3</c:v>
                </c:pt>
                <c:pt idx="56">
                  <c:v>6.143E-3</c:v>
                </c:pt>
                <c:pt idx="58">
                  <c:v>1.678E-3</c:v>
                </c:pt>
                <c:pt idx="60">
                  <c:v>1.678E-3</c:v>
                </c:pt>
                <c:pt idx="61">
                  <c:v>1.9959999999999999E-3</c:v>
                </c:pt>
                <c:pt idx="62">
                  <c:v>3.7729999999999999E-3</c:v>
                </c:pt>
                <c:pt idx="65">
                  <c:v>2.9889999999999999E-3</c:v>
                </c:pt>
                <c:pt idx="67">
                  <c:v>1.238E-3</c:v>
                </c:pt>
                <c:pt idx="69">
                  <c:v>8.9999999999999998E-4</c:v>
                </c:pt>
                <c:pt idx="72">
                  <c:v>1.1709999999999999E-3</c:v>
                </c:pt>
                <c:pt idx="75">
                  <c:v>8.7399999999999999E-4</c:v>
                </c:pt>
                <c:pt idx="77">
                  <c:v>1.6069999999999999E-3</c:v>
                </c:pt>
                <c:pt idx="79">
                  <c:v>7.0299999999999996E-4</c:v>
                </c:pt>
                <c:pt idx="84">
                  <c:v>2.0339999999999998E-3</c:v>
                </c:pt>
                <c:pt idx="88">
                  <c:v>1.665E-3</c:v>
                </c:pt>
                <c:pt idx="89">
                  <c:v>2.5999999999999999E-3</c:v>
                </c:pt>
                <c:pt idx="90">
                  <c:v>1.4E-3</c:v>
                </c:pt>
                <c:pt idx="94">
                  <c:v>2.0079999999999998E-3</c:v>
                </c:pt>
                <c:pt idx="95">
                  <c:v>4.7999999999999996E-3</c:v>
                </c:pt>
                <c:pt idx="97">
                  <c:v>1.408E-3</c:v>
                </c:pt>
                <c:pt idx="98">
                  <c:v>1.408E-3</c:v>
                </c:pt>
              </c:numCache>
            </c:numRef>
          </c:xVal>
          <c:yVal>
            <c:numRef>
              <c:f>'Old Data Sheet'!$C$3:$C$102</c:f>
              <c:numCache>
                <c:formatCode>General</c:formatCode>
                <c:ptCount val="100"/>
                <c:pt idx="1">
                  <c:v>20.6</c:v>
                </c:pt>
                <c:pt idx="4">
                  <c:v>1054</c:v>
                </c:pt>
                <c:pt idx="7">
                  <c:v>60.92</c:v>
                </c:pt>
                <c:pt idx="8">
                  <c:v>349.23</c:v>
                </c:pt>
                <c:pt idx="9">
                  <c:v>7860</c:v>
                </c:pt>
                <c:pt idx="10">
                  <c:v>35.5</c:v>
                </c:pt>
                <c:pt idx="11">
                  <c:v>420</c:v>
                </c:pt>
                <c:pt idx="20">
                  <c:v>2625</c:v>
                </c:pt>
                <c:pt idx="34">
                  <c:v>21</c:v>
                </c:pt>
                <c:pt idx="41">
                  <c:v>642.1</c:v>
                </c:pt>
                <c:pt idx="43">
                  <c:v>9.66</c:v>
                </c:pt>
                <c:pt idx="49">
                  <c:v>49.643599999999999</c:v>
                </c:pt>
                <c:pt idx="57">
                  <c:v>263.02999999999997</c:v>
                </c:pt>
                <c:pt idx="58">
                  <c:v>0.72850000000000004</c:v>
                </c:pt>
                <c:pt idx="59">
                  <c:v>51.505000000000003</c:v>
                </c:pt>
                <c:pt idx="64">
                  <c:v>45.029000000000003</c:v>
                </c:pt>
                <c:pt idx="65">
                  <c:v>25.683</c:v>
                </c:pt>
                <c:pt idx="67">
                  <c:v>307.8</c:v>
                </c:pt>
                <c:pt idx="68">
                  <c:v>43.75</c:v>
                </c:pt>
                <c:pt idx="70">
                  <c:v>4.375</c:v>
                </c:pt>
                <c:pt idx="71">
                  <c:v>6.3</c:v>
                </c:pt>
                <c:pt idx="72">
                  <c:v>30</c:v>
                </c:pt>
                <c:pt idx="73">
                  <c:v>20</c:v>
                </c:pt>
                <c:pt idx="74">
                  <c:v>58.4</c:v>
                </c:pt>
                <c:pt idx="75">
                  <c:v>23.725000000000001</c:v>
                </c:pt>
                <c:pt idx="76">
                  <c:v>64.122</c:v>
                </c:pt>
                <c:pt idx="77">
                  <c:v>618.5</c:v>
                </c:pt>
                <c:pt idx="78">
                  <c:v>213.6</c:v>
                </c:pt>
                <c:pt idx="79">
                  <c:v>48.7</c:v>
                </c:pt>
                <c:pt idx="80">
                  <c:v>170.1</c:v>
                </c:pt>
                <c:pt idx="81">
                  <c:v>248.8</c:v>
                </c:pt>
                <c:pt idx="82">
                  <c:v>80.7</c:v>
                </c:pt>
                <c:pt idx="83">
                  <c:v>312.55</c:v>
                </c:pt>
                <c:pt idx="84">
                  <c:v>110.2</c:v>
                </c:pt>
                <c:pt idx="85">
                  <c:v>47.548299999999998</c:v>
                </c:pt>
                <c:pt idx="86">
                  <c:v>114.66</c:v>
                </c:pt>
                <c:pt idx="87">
                  <c:v>4.0999999999999996</c:v>
                </c:pt>
                <c:pt idx="88">
                  <c:v>63.3</c:v>
                </c:pt>
                <c:pt idx="89">
                  <c:v>3.2</c:v>
                </c:pt>
                <c:pt idx="92">
                  <c:v>97.421999999999997</c:v>
                </c:pt>
                <c:pt idx="93">
                  <c:v>45.469000000000001</c:v>
                </c:pt>
                <c:pt idx="95">
                  <c:v>138.59800000000001</c:v>
                </c:pt>
                <c:pt idx="96">
                  <c:v>83.043000000000006</c:v>
                </c:pt>
                <c:pt idx="99">
                  <c:v>19.042999999999999</c:v>
                </c:pt>
              </c:numCache>
            </c:numRef>
          </c:yVal>
          <c:smooth val="0"/>
          <c:extLst>
            <c:ext xmlns:c16="http://schemas.microsoft.com/office/drawing/2014/chart" uri="{C3380CC4-5D6E-409C-BE32-E72D297353CC}">
              <c16:uniqueId val="{00000000-D00F-7A4E-AE60-A17782766DA9}"/>
            </c:ext>
          </c:extLst>
        </c:ser>
        <c:dLbls>
          <c:showLegendKey val="0"/>
          <c:showVal val="0"/>
          <c:showCatName val="0"/>
          <c:showSerName val="0"/>
          <c:showPercent val="0"/>
          <c:showBubbleSize val="0"/>
        </c:dLbls>
        <c:axId val="2084061551"/>
        <c:axId val="2053225503"/>
      </c:scatterChart>
      <c:valAx>
        <c:axId val="2084061551"/>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Metabolic</a:t>
                </a:r>
                <a:r>
                  <a:rPr lang="en-US" baseline="0"/>
                  <a:t> Rate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225503"/>
        <c:crosses val="autoZero"/>
        <c:crossBetween val="midCat"/>
      </c:valAx>
      <c:valAx>
        <c:axId val="2053225503"/>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Basal</a:t>
                </a:r>
                <a:r>
                  <a:rPr lang="en-US" baseline="0"/>
                  <a:t> Cortisol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0615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200" b="1" i="0" u="none" strike="noStrike" kern="1200" spc="0" baseline="0">
                <a:solidFill>
                  <a:schemeClr val="tx1"/>
                </a:solidFill>
                <a:latin typeface="PT Sans" panose="020B0503020203020204" pitchFamily="34" charset="77"/>
                <a:ea typeface="+mn-ea"/>
                <a:cs typeface="+mn-cs"/>
              </a:defRPr>
            </a:pPr>
            <a:r>
              <a:rPr lang="en-US" sz="7200" b="1">
                <a:solidFill>
                  <a:schemeClr val="tx1"/>
                </a:solidFill>
                <a:latin typeface="PT Sans" panose="020B0503020203020204" pitchFamily="34" charset="77"/>
              </a:rPr>
              <a:t>Metabolic Rate vs.Basal</a:t>
            </a:r>
            <a:r>
              <a:rPr lang="en-US" sz="7200" b="1" baseline="0">
                <a:solidFill>
                  <a:schemeClr val="tx1"/>
                </a:solidFill>
                <a:latin typeface="PT Sans" panose="020B0503020203020204" pitchFamily="34" charset="77"/>
              </a:rPr>
              <a:t> Corticosterone </a:t>
            </a:r>
            <a:endParaRPr lang="en-US" sz="7200" b="1">
              <a:solidFill>
                <a:schemeClr val="tx1"/>
              </a:solidFill>
              <a:latin typeface="PT Sans" panose="020B0503020203020204" pitchFamily="34" charset="77"/>
            </a:endParaRPr>
          </a:p>
        </c:rich>
      </c:tx>
      <c:overlay val="0"/>
      <c:spPr>
        <a:noFill/>
        <a:ln>
          <a:noFill/>
        </a:ln>
        <a:effectLst/>
      </c:spPr>
      <c:txPr>
        <a:bodyPr rot="0" spcFirstLastPara="1" vertOverflow="ellipsis" vert="horz" wrap="square" anchor="ctr" anchorCtr="1"/>
        <a:lstStyle/>
        <a:p>
          <a:pPr>
            <a:defRPr sz="7200" b="1" i="0" u="none" strike="noStrike" kern="1200" spc="0" baseline="0">
              <a:solidFill>
                <a:schemeClr val="tx1"/>
              </a:solidFill>
              <a:latin typeface="PT Sans" panose="020B0503020203020204" pitchFamily="34" charset="77"/>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14"/>
            <c:spPr>
              <a:noFill/>
              <a:ln w="31750">
                <a:solidFill>
                  <a:srgbClr val="002060"/>
                </a:solidFill>
              </a:ln>
              <a:effectLst/>
            </c:spPr>
          </c:marker>
          <c:trendline>
            <c:spPr>
              <a:ln w="19050" cap="rnd">
                <a:solidFill>
                  <a:schemeClr val="accent1"/>
                </a:solidFill>
                <a:prstDash val="sysDot"/>
              </a:ln>
              <a:effectLst/>
            </c:spPr>
            <c:trendlineType val="power"/>
            <c:dispRSqr val="0"/>
            <c:dispEq val="0"/>
          </c:trendline>
          <c:trendline>
            <c:spPr>
              <a:ln w="92075" cap="rnd">
                <a:solidFill>
                  <a:srgbClr val="002060"/>
                </a:solidFill>
                <a:prstDash val="solid"/>
              </a:ln>
              <a:effectLst/>
            </c:spPr>
            <c:trendlineType val="power"/>
            <c:dispRSqr val="0"/>
            <c:dispEq val="0"/>
          </c:trendline>
          <c:xVal>
            <c:numRef>
              <c:f>'Old Data Sheet'!$Y$3:$Y$102</c:f>
              <c:numCache>
                <c:formatCode>General</c:formatCode>
                <c:ptCount val="100"/>
                <c:pt idx="1">
                  <c:v>8.8400000000000002E-4</c:v>
                </c:pt>
                <c:pt idx="2">
                  <c:v>8.8400000000000002E-4</c:v>
                </c:pt>
                <c:pt idx="4">
                  <c:v>4.1840000000000002E-3</c:v>
                </c:pt>
                <c:pt idx="5">
                  <c:v>1.1709999999999999E-3</c:v>
                </c:pt>
                <c:pt idx="7">
                  <c:v>2.1559999999999999E-3</c:v>
                </c:pt>
                <c:pt idx="8">
                  <c:v>3.333E-3</c:v>
                </c:pt>
                <c:pt idx="13">
                  <c:v>2.8010000000000001E-3</c:v>
                </c:pt>
                <c:pt idx="14">
                  <c:v>6.3769999999999999E-3</c:v>
                </c:pt>
                <c:pt idx="15">
                  <c:v>1.1709999999999999E-3</c:v>
                </c:pt>
                <c:pt idx="16">
                  <c:v>1.562E-3</c:v>
                </c:pt>
                <c:pt idx="19">
                  <c:v>6.143E-3</c:v>
                </c:pt>
                <c:pt idx="20">
                  <c:v>1.433E-3</c:v>
                </c:pt>
                <c:pt idx="21">
                  <c:v>4.4999999999999997E-3</c:v>
                </c:pt>
                <c:pt idx="26">
                  <c:v>1.116E-3</c:v>
                </c:pt>
                <c:pt idx="31">
                  <c:v>1.116E-3</c:v>
                </c:pt>
                <c:pt idx="34">
                  <c:v>1.116E-3</c:v>
                </c:pt>
                <c:pt idx="39">
                  <c:v>9.7099999999999997E-4</c:v>
                </c:pt>
                <c:pt idx="40">
                  <c:v>9.7099999999999997E-4</c:v>
                </c:pt>
                <c:pt idx="41">
                  <c:v>1.01E-3</c:v>
                </c:pt>
                <c:pt idx="44">
                  <c:v>1.6180000000000001E-3</c:v>
                </c:pt>
                <c:pt idx="46">
                  <c:v>7.9799999999999992E-3</c:v>
                </c:pt>
                <c:pt idx="47">
                  <c:v>4.1840000000000002E-3</c:v>
                </c:pt>
                <c:pt idx="48">
                  <c:v>1.0683E-2</c:v>
                </c:pt>
                <c:pt idx="49">
                  <c:v>6.3599999999999996E-4</c:v>
                </c:pt>
                <c:pt idx="50">
                  <c:v>6.3599999999999996E-4</c:v>
                </c:pt>
                <c:pt idx="51">
                  <c:v>2.8010000000000001E-3</c:v>
                </c:pt>
                <c:pt idx="52">
                  <c:v>2.1289999999999998E-3</c:v>
                </c:pt>
                <c:pt idx="53">
                  <c:v>1.1709999999999999E-3</c:v>
                </c:pt>
                <c:pt idx="55">
                  <c:v>2.9979999999999998E-3</c:v>
                </c:pt>
                <c:pt idx="56">
                  <c:v>6.143E-3</c:v>
                </c:pt>
                <c:pt idx="58">
                  <c:v>1.678E-3</c:v>
                </c:pt>
                <c:pt idx="60">
                  <c:v>1.678E-3</c:v>
                </c:pt>
                <c:pt idx="61">
                  <c:v>1.9959999999999999E-3</c:v>
                </c:pt>
                <c:pt idx="62">
                  <c:v>3.7729999999999999E-3</c:v>
                </c:pt>
                <c:pt idx="65">
                  <c:v>2.9889999999999999E-3</c:v>
                </c:pt>
                <c:pt idx="67">
                  <c:v>1.238E-3</c:v>
                </c:pt>
                <c:pt idx="69">
                  <c:v>8.9999999999999998E-4</c:v>
                </c:pt>
                <c:pt idx="72">
                  <c:v>1.1709999999999999E-3</c:v>
                </c:pt>
                <c:pt idx="75">
                  <c:v>8.7399999999999999E-4</c:v>
                </c:pt>
                <c:pt idx="77">
                  <c:v>1.6069999999999999E-3</c:v>
                </c:pt>
                <c:pt idx="79">
                  <c:v>7.0299999999999996E-4</c:v>
                </c:pt>
                <c:pt idx="84">
                  <c:v>2.0339999999999998E-3</c:v>
                </c:pt>
                <c:pt idx="88">
                  <c:v>1.665E-3</c:v>
                </c:pt>
                <c:pt idx="89">
                  <c:v>2.5999999999999999E-3</c:v>
                </c:pt>
                <c:pt idx="90">
                  <c:v>1.4E-3</c:v>
                </c:pt>
                <c:pt idx="94">
                  <c:v>2.0079999999999998E-3</c:v>
                </c:pt>
                <c:pt idx="95">
                  <c:v>4.7999999999999996E-3</c:v>
                </c:pt>
                <c:pt idx="97">
                  <c:v>1.408E-3</c:v>
                </c:pt>
                <c:pt idx="98">
                  <c:v>1.408E-3</c:v>
                </c:pt>
              </c:numCache>
            </c:numRef>
          </c:xVal>
          <c:yVal>
            <c:numRef>
              <c:f>'Old Data Sheet'!$D$3:$D$102</c:f>
              <c:numCache>
                <c:formatCode>General</c:formatCode>
                <c:ptCount val="100"/>
                <c:pt idx="35">
                  <c:v>1240</c:v>
                </c:pt>
                <c:pt idx="36">
                  <c:v>25</c:v>
                </c:pt>
                <c:pt idx="37">
                  <c:v>60</c:v>
                </c:pt>
                <c:pt idx="38">
                  <c:v>90</c:v>
                </c:pt>
                <c:pt idx="45">
                  <c:v>1743.1</c:v>
                </c:pt>
                <c:pt idx="46">
                  <c:v>2842.33</c:v>
                </c:pt>
                <c:pt idx="47">
                  <c:v>1711.28</c:v>
                </c:pt>
                <c:pt idx="48">
                  <c:v>1436.55</c:v>
                </c:pt>
                <c:pt idx="58">
                  <c:v>5.1319999999999997</c:v>
                </c:pt>
                <c:pt idx="71">
                  <c:v>102.75</c:v>
                </c:pt>
                <c:pt idx="72">
                  <c:v>640</c:v>
                </c:pt>
                <c:pt idx="74">
                  <c:v>1030</c:v>
                </c:pt>
                <c:pt idx="75">
                  <c:v>64.758300000000006</c:v>
                </c:pt>
                <c:pt idx="76">
                  <c:v>104.312</c:v>
                </c:pt>
                <c:pt idx="77">
                  <c:v>232.9</c:v>
                </c:pt>
                <c:pt idx="78">
                  <c:v>354.7</c:v>
                </c:pt>
                <c:pt idx="79">
                  <c:v>64.099999999999994</c:v>
                </c:pt>
                <c:pt idx="80">
                  <c:v>101.9</c:v>
                </c:pt>
                <c:pt idx="81">
                  <c:v>302.2</c:v>
                </c:pt>
                <c:pt idx="82">
                  <c:v>45.1</c:v>
                </c:pt>
                <c:pt idx="83">
                  <c:v>215.8</c:v>
                </c:pt>
                <c:pt idx="84">
                  <c:v>175</c:v>
                </c:pt>
                <c:pt idx="87">
                  <c:v>8.6</c:v>
                </c:pt>
                <c:pt idx="91">
                  <c:v>16.2</c:v>
                </c:pt>
                <c:pt idx="94">
                  <c:v>132</c:v>
                </c:pt>
              </c:numCache>
            </c:numRef>
          </c:yVal>
          <c:smooth val="0"/>
          <c:extLst>
            <c:ext xmlns:c16="http://schemas.microsoft.com/office/drawing/2014/chart" uri="{C3380CC4-5D6E-409C-BE32-E72D297353CC}">
              <c16:uniqueId val="{00000000-C8A6-F847-A6C7-DB3B6607BF15}"/>
            </c:ext>
          </c:extLst>
        </c:ser>
        <c:dLbls>
          <c:showLegendKey val="0"/>
          <c:showVal val="0"/>
          <c:showCatName val="0"/>
          <c:showSerName val="0"/>
          <c:showPercent val="0"/>
          <c:showBubbleSize val="0"/>
        </c:dLbls>
        <c:axId val="1655624879"/>
        <c:axId val="1655642815"/>
      </c:scatterChart>
      <c:valAx>
        <c:axId val="1655624879"/>
        <c:scaling>
          <c:logBase val="10"/>
          <c:orientation val="minMax"/>
        </c:scaling>
        <c:delete val="0"/>
        <c:axPos val="b"/>
        <c:title>
          <c:tx>
            <c:rich>
              <a:bodyPr rot="0" spcFirstLastPara="1" vertOverflow="ellipsis" vert="horz" wrap="square" anchor="ctr" anchorCtr="1"/>
              <a:lstStyle/>
              <a:p>
                <a:pPr>
                  <a:defRPr sz="5400" b="0" i="0" u="none" strike="noStrike" kern="1200" baseline="0">
                    <a:solidFill>
                      <a:schemeClr val="tx1"/>
                    </a:solidFill>
                    <a:latin typeface="+mn-lt"/>
                    <a:ea typeface="+mn-ea"/>
                    <a:cs typeface="+mn-cs"/>
                  </a:defRPr>
                </a:pPr>
                <a:r>
                  <a:rPr lang="en-US" sz="5400">
                    <a:solidFill>
                      <a:schemeClr val="tx1"/>
                    </a:solidFill>
                  </a:rPr>
                  <a:t>Mass-Specific</a:t>
                </a:r>
                <a:r>
                  <a:rPr lang="en-US" sz="5400" baseline="0">
                    <a:solidFill>
                      <a:schemeClr val="tx1"/>
                    </a:solidFill>
                  </a:rPr>
                  <a:t> Metabolic Rate (W/g)</a:t>
                </a:r>
                <a:endParaRPr lang="en-US" sz="5400">
                  <a:solidFill>
                    <a:schemeClr val="tx1"/>
                  </a:solidFill>
                </a:endParaRPr>
              </a:p>
            </c:rich>
          </c:tx>
          <c:overlay val="0"/>
          <c:spPr>
            <a:noFill/>
            <a:ln>
              <a:noFill/>
            </a:ln>
            <a:effectLst/>
          </c:spPr>
          <c:txPr>
            <a:bodyPr rot="0" spcFirstLastPara="1" vertOverflow="ellipsis" vert="horz" wrap="square" anchor="ctr" anchorCtr="1"/>
            <a:lstStyle/>
            <a:p>
              <a:pPr>
                <a:defRPr sz="5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0" cap="flat" cmpd="sng" algn="ctr">
            <a:solidFill>
              <a:srgbClr val="002060"/>
            </a:solidFill>
            <a:round/>
          </a:ln>
          <a:effectLst/>
        </c:spPr>
        <c:txPr>
          <a:bodyPr rot="-6000000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crossAx val="1655642815"/>
        <c:crosses val="autoZero"/>
        <c:crossBetween val="midCat"/>
      </c:valAx>
      <c:valAx>
        <c:axId val="1655642815"/>
        <c:scaling>
          <c:logBase val="10"/>
          <c:orientation val="minMax"/>
        </c:scaling>
        <c:delete val="0"/>
        <c:axPos val="l"/>
        <c:title>
          <c:tx>
            <c:rich>
              <a:bodyPr rot="-5400000" spcFirstLastPara="1" vertOverflow="ellipsis" vert="horz" wrap="square" anchor="ctr" anchorCtr="1"/>
              <a:lstStyle/>
              <a:p>
                <a:pPr>
                  <a:defRPr sz="5400" b="0" i="0" u="none" strike="noStrike" kern="1200" baseline="0">
                    <a:solidFill>
                      <a:schemeClr val="tx1"/>
                    </a:solidFill>
                    <a:latin typeface="+mn-lt"/>
                    <a:ea typeface="+mn-ea"/>
                    <a:cs typeface="+mn-cs"/>
                  </a:defRPr>
                </a:pPr>
                <a:r>
                  <a:rPr lang="en-US" sz="5400">
                    <a:solidFill>
                      <a:schemeClr val="tx1"/>
                    </a:solidFill>
                  </a:rPr>
                  <a:t>Basal</a:t>
                </a:r>
                <a:r>
                  <a:rPr lang="en-US" sz="5400" baseline="0">
                    <a:solidFill>
                      <a:schemeClr val="tx1"/>
                    </a:solidFill>
                  </a:rPr>
                  <a:t> Corticosterone (ng/g feces)</a:t>
                </a:r>
                <a:endParaRPr lang="en-US" sz="5400">
                  <a:solidFill>
                    <a:schemeClr val="tx1"/>
                  </a:solidFill>
                </a:endParaRPr>
              </a:p>
            </c:rich>
          </c:tx>
          <c:layout>
            <c:manualLayout>
              <c:xMode val="edge"/>
              <c:yMode val="edge"/>
              <c:x val="1.5588330600261196E-2"/>
              <c:y val="0.16672510296200241"/>
            </c:manualLayout>
          </c:layout>
          <c:overlay val="0"/>
          <c:spPr>
            <a:noFill/>
            <a:ln>
              <a:noFill/>
            </a:ln>
            <a:effectLst/>
          </c:spPr>
          <c:txPr>
            <a:bodyPr rot="-5400000" spcFirstLastPara="1" vertOverflow="ellipsis" vert="horz" wrap="square" anchor="ctr" anchorCtr="1"/>
            <a:lstStyle/>
            <a:p>
              <a:pPr>
                <a:defRPr sz="5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0" cap="flat" cmpd="sng" algn="ctr">
            <a:solidFill>
              <a:srgbClr val="002060"/>
            </a:solidFill>
            <a:round/>
          </a:ln>
          <a:effectLst/>
        </c:spPr>
        <c:txPr>
          <a:bodyPr rot="-6000000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crossAx val="16556248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Basal</a:t>
            </a:r>
            <a:r>
              <a:rPr lang="en-US" baseline="0"/>
              <a:t> Cortisol vs. Elevated Cortisol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35870516185477"/>
          <c:y val="0.14856481481481484"/>
          <c:w val="0.83319685039370084"/>
          <c:h val="0.72088764946048411"/>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16721270796254822"/>
                  <c:y val="-0.10188712149550781"/>
                </c:manualLayout>
              </c:layout>
              <c:numFmt formatCode="General" sourceLinked="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Sheet'!$C$3:$C$102</c:f>
              <c:numCache>
                <c:formatCode>General</c:formatCode>
                <c:ptCount val="100"/>
                <c:pt idx="1">
                  <c:v>20.6</c:v>
                </c:pt>
                <c:pt idx="4">
                  <c:v>1054</c:v>
                </c:pt>
                <c:pt idx="7">
                  <c:v>60.92</c:v>
                </c:pt>
                <c:pt idx="8">
                  <c:v>349.23</c:v>
                </c:pt>
                <c:pt idx="9">
                  <c:v>7860</c:v>
                </c:pt>
                <c:pt idx="10">
                  <c:v>35.5</c:v>
                </c:pt>
                <c:pt idx="11">
                  <c:v>420</c:v>
                </c:pt>
                <c:pt idx="20">
                  <c:v>2625</c:v>
                </c:pt>
                <c:pt idx="34">
                  <c:v>21</c:v>
                </c:pt>
                <c:pt idx="41">
                  <c:v>642.1</c:v>
                </c:pt>
                <c:pt idx="43">
                  <c:v>9.66</c:v>
                </c:pt>
                <c:pt idx="49">
                  <c:v>49.643599999999999</c:v>
                </c:pt>
                <c:pt idx="57">
                  <c:v>263.02999999999997</c:v>
                </c:pt>
                <c:pt idx="58">
                  <c:v>0.72850000000000004</c:v>
                </c:pt>
                <c:pt idx="59">
                  <c:v>51.505000000000003</c:v>
                </c:pt>
                <c:pt idx="64">
                  <c:v>45.029000000000003</c:v>
                </c:pt>
                <c:pt idx="65">
                  <c:v>25.683</c:v>
                </c:pt>
                <c:pt idx="67">
                  <c:v>307.8</c:v>
                </c:pt>
                <c:pt idx="68">
                  <c:v>43.75</c:v>
                </c:pt>
                <c:pt idx="70">
                  <c:v>4.375</c:v>
                </c:pt>
                <c:pt idx="71">
                  <c:v>6.3</c:v>
                </c:pt>
                <c:pt idx="72">
                  <c:v>30</c:v>
                </c:pt>
                <c:pt idx="73">
                  <c:v>20</c:v>
                </c:pt>
                <c:pt idx="74">
                  <c:v>58.4</c:v>
                </c:pt>
                <c:pt idx="75">
                  <c:v>23.725000000000001</c:v>
                </c:pt>
                <c:pt idx="76">
                  <c:v>64.122</c:v>
                </c:pt>
                <c:pt idx="77">
                  <c:v>618.5</c:v>
                </c:pt>
                <c:pt idx="78">
                  <c:v>213.6</c:v>
                </c:pt>
                <c:pt idx="79">
                  <c:v>48.7</c:v>
                </c:pt>
                <c:pt idx="80">
                  <c:v>170.1</c:v>
                </c:pt>
                <c:pt idx="81">
                  <c:v>248.8</c:v>
                </c:pt>
                <c:pt idx="82">
                  <c:v>80.7</c:v>
                </c:pt>
                <c:pt idx="83">
                  <c:v>312.55</c:v>
                </c:pt>
                <c:pt idx="84">
                  <c:v>110.2</c:v>
                </c:pt>
                <c:pt idx="85">
                  <c:v>47.548299999999998</c:v>
                </c:pt>
                <c:pt idx="86">
                  <c:v>114.66</c:v>
                </c:pt>
                <c:pt idx="87">
                  <c:v>4.0999999999999996</c:v>
                </c:pt>
                <c:pt idx="88">
                  <c:v>63.3</c:v>
                </c:pt>
                <c:pt idx="89">
                  <c:v>3.2</c:v>
                </c:pt>
                <c:pt idx="92">
                  <c:v>97.421999999999997</c:v>
                </c:pt>
                <c:pt idx="93">
                  <c:v>45.469000000000001</c:v>
                </c:pt>
                <c:pt idx="95">
                  <c:v>138.59800000000001</c:v>
                </c:pt>
                <c:pt idx="96">
                  <c:v>83.043000000000006</c:v>
                </c:pt>
                <c:pt idx="99">
                  <c:v>19.042999999999999</c:v>
                </c:pt>
              </c:numCache>
            </c:numRef>
          </c:xVal>
          <c:yVal>
            <c:numRef>
              <c:f>'Old Data Sheet'!$E$3:$E$102</c:f>
              <c:numCache>
                <c:formatCode>General</c:formatCode>
                <c:ptCount val="100"/>
                <c:pt idx="4" formatCode="#,##0">
                  <c:v>0</c:v>
                </c:pt>
                <c:pt idx="7">
                  <c:v>459</c:v>
                </c:pt>
                <c:pt idx="9">
                  <c:v>121250</c:v>
                </c:pt>
                <c:pt idx="10">
                  <c:v>188.5</c:v>
                </c:pt>
                <c:pt idx="11">
                  <c:v>1940</c:v>
                </c:pt>
                <c:pt idx="20">
                  <c:v>3748</c:v>
                </c:pt>
                <c:pt idx="34">
                  <c:v>37</c:v>
                </c:pt>
                <c:pt idx="41">
                  <c:v>1379.3</c:v>
                </c:pt>
                <c:pt idx="43">
                  <c:v>35.28</c:v>
                </c:pt>
                <c:pt idx="57">
                  <c:v>416.87</c:v>
                </c:pt>
                <c:pt idx="58">
                  <c:v>6.2914000000000003</c:v>
                </c:pt>
                <c:pt idx="59">
                  <c:v>80.245000000000005</c:v>
                </c:pt>
                <c:pt idx="64">
                  <c:v>105.90300000000001</c:v>
                </c:pt>
                <c:pt idx="65">
                  <c:v>209.113</c:v>
                </c:pt>
                <c:pt idx="67">
                  <c:v>820.9</c:v>
                </c:pt>
                <c:pt idx="68">
                  <c:v>744.95</c:v>
                </c:pt>
                <c:pt idx="70">
                  <c:v>43.6</c:v>
                </c:pt>
                <c:pt idx="71">
                  <c:v>19.2</c:v>
                </c:pt>
                <c:pt idx="72">
                  <c:v>115</c:v>
                </c:pt>
                <c:pt idx="73">
                  <c:v>40</c:v>
                </c:pt>
                <c:pt idx="74">
                  <c:v>104.2</c:v>
                </c:pt>
                <c:pt idx="75">
                  <c:v>49.3</c:v>
                </c:pt>
                <c:pt idx="76">
                  <c:v>14.9099</c:v>
                </c:pt>
                <c:pt idx="77">
                  <c:v>1850.3</c:v>
                </c:pt>
                <c:pt idx="78">
                  <c:v>384.6</c:v>
                </c:pt>
                <c:pt idx="79">
                  <c:v>1428.8</c:v>
                </c:pt>
                <c:pt idx="80">
                  <c:v>324.60000000000002</c:v>
                </c:pt>
                <c:pt idx="81">
                  <c:v>1100.7</c:v>
                </c:pt>
                <c:pt idx="82">
                  <c:v>369.6</c:v>
                </c:pt>
                <c:pt idx="83">
                  <c:v>969.85</c:v>
                </c:pt>
                <c:pt idx="84">
                  <c:v>614.1</c:v>
                </c:pt>
                <c:pt idx="85">
                  <c:v>65.816100000000006</c:v>
                </c:pt>
                <c:pt idx="86">
                  <c:v>179.49199999999999</c:v>
                </c:pt>
                <c:pt idx="87">
                  <c:v>28.3</c:v>
                </c:pt>
                <c:pt idx="89">
                  <c:v>5.15</c:v>
                </c:pt>
                <c:pt idx="92">
                  <c:v>1981.5070000000001</c:v>
                </c:pt>
                <c:pt idx="93">
                  <c:v>228.89965000000001</c:v>
                </c:pt>
                <c:pt idx="95">
                  <c:v>272.02499999999998</c:v>
                </c:pt>
                <c:pt idx="96">
                  <c:v>184.65899999999999</c:v>
                </c:pt>
                <c:pt idx="99">
                  <c:v>112.455</c:v>
                </c:pt>
              </c:numCache>
            </c:numRef>
          </c:yVal>
          <c:smooth val="0"/>
          <c:extLst>
            <c:ext xmlns:c16="http://schemas.microsoft.com/office/drawing/2014/chart" uri="{C3380CC4-5D6E-409C-BE32-E72D297353CC}">
              <c16:uniqueId val="{00000000-83FA-FF46-BBAE-272F98105DD4}"/>
            </c:ext>
          </c:extLst>
        </c:ser>
        <c:dLbls>
          <c:showLegendKey val="0"/>
          <c:showVal val="0"/>
          <c:showCatName val="0"/>
          <c:showSerName val="0"/>
          <c:showPercent val="0"/>
          <c:showBubbleSize val="0"/>
        </c:dLbls>
        <c:axId val="4576832"/>
        <c:axId val="5204672"/>
      </c:scatterChart>
      <c:valAx>
        <c:axId val="4576832"/>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Basal</a:t>
                </a:r>
                <a:r>
                  <a:rPr lang="en-US" baseline="0"/>
                  <a:t> Cortisol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4672"/>
        <c:crosses val="autoZero"/>
        <c:crossBetween val="midCat"/>
      </c:valAx>
      <c:valAx>
        <c:axId val="5204672"/>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Elevated</a:t>
                </a:r>
                <a:r>
                  <a:rPr lang="en-US" baseline="0"/>
                  <a:t> Cortisol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68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EIA</a:t>
            </a:r>
            <a:r>
              <a:rPr lang="en-US" baseline="0"/>
              <a:t> 1 body mass vs basal cortisol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58092738407698"/>
          <c:y val="0.13930555555555554"/>
          <c:w val="0.8142941819772529"/>
          <c:h val="0.72088764946048411"/>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1.4442257217847769E-2"/>
                  <c:y val="-0.36528032954214057"/>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t>y = 17817x</a:t>
                    </a:r>
                    <a:r>
                      <a:rPr lang="en-US" sz="1400" baseline="30000"/>
                      <a:t>-0.512</a:t>
                    </a:r>
                    <a:br>
                      <a:rPr lang="en-US" sz="1400" baseline="0"/>
                    </a:br>
                    <a:r>
                      <a:rPr lang="en-US" sz="1400" baseline="0"/>
                      <a:t>R² = 0.3311</a:t>
                    </a:r>
                    <a:endParaRPr lang="en-US" sz="14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Sheet'!$X$3:$X$11</c:f>
              <c:numCache>
                <c:formatCode>#,##0</c:formatCode>
                <c:ptCount val="9"/>
                <c:pt idx="0">
                  <c:v>7000</c:v>
                </c:pt>
                <c:pt idx="1">
                  <c:v>750000</c:v>
                </c:pt>
                <c:pt idx="2">
                  <c:v>750000</c:v>
                </c:pt>
                <c:pt idx="3">
                  <c:v>61000</c:v>
                </c:pt>
                <c:pt idx="4">
                  <c:v>1600</c:v>
                </c:pt>
                <c:pt idx="5">
                  <c:v>164500</c:v>
                </c:pt>
                <c:pt idx="6">
                  <c:v>215000</c:v>
                </c:pt>
                <c:pt idx="7">
                  <c:v>21667</c:v>
                </c:pt>
                <c:pt idx="8" formatCode="General">
                  <c:v>728</c:v>
                </c:pt>
              </c:numCache>
            </c:numRef>
          </c:xVal>
          <c:yVal>
            <c:numRef>
              <c:f>'Old Data Sheet'!$C$3:$C$11</c:f>
              <c:numCache>
                <c:formatCode>General</c:formatCode>
                <c:ptCount val="9"/>
                <c:pt idx="1">
                  <c:v>20.6</c:v>
                </c:pt>
                <c:pt idx="4">
                  <c:v>1054</c:v>
                </c:pt>
                <c:pt idx="7">
                  <c:v>60.92</c:v>
                </c:pt>
                <c:pt idx="8">
                  <c:v>349.23</c:v>
                </c:pt>
              </c:numCache>
            </c:numRef>
          </c:yVal>
          <c:smooth val="0"/>
          <c:extLst>
            <c:ext xmlns:c16="http://schemas.microsoft.com/office/drawing/2014/chart" uri="{C3380CC4-5D6E-409C-BE32-E72D297353CC}">
              <c16:uniqueId val="{00000000-46C8-084D-A16B-A20A148D6CF1}"/>
            </c:ext>
          </c:extLst>
        </c:ser>
        <c:dLbls>
          <c:showLegendKey val="0"/>
          <c:showVal val="0"/>
          <c:showCatName val="0"/>
          <c:showSerName val="0"/>
          <c:showPercent val="0"/>
          <c:showBubbleSize val="0"/>
        </c:dLbls>
        <c:axId val="1923536703"/>
        <c:axId val="1921472399"/>
      </c:scatterChart>
      <c:valAx>
        <c:axId val="1923536703"/>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72399"/>
        <c:crosses val="autoZero"/>
        <c:crossBetween val="midCat"/>
      </c:valAx>
      <c:valAx>
        <c:axId val="1921472399"/>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5367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EIA</a:t>
            </a:r>
            <a:r>
              <a:rPr lang="en-US" baseline="0"/>
              <a:t> 11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46981627296588"/>
          <c:y val="0.17171296296296298"/>
          <c:w val="0.8142941819772529"/>
          <c:h val="0.72088764946048411"/>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7.5681977252843396E-2"/>
                  <c:y val="-0.3074445902595509"/>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t>y = 9198.3x</a:t>
                    </a:r>
                    <a:r>
                      <a:rPr lang="en-US" sz="1400" baseline="30000"/>
                      <a:t>-0.373</a:t>
                    </a:r>
                    <a:br>
                      <a:rPr lang="en-US" sz="1400" baseline="0"/>
                    </a:br>
                    <a:r>
                      <a:rPr lang="en-US" sz="1400" baseline="0"/>
                      <a:t>R² = 0.9516</a:t>
                    </a:r>
                    <a:endParaRPr lang="en-US" sz="14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Sheet'!$X$54:$X$59</c:f>
              <c:numCache>
                <c:formatCode>#,##0</c:formatCode>
                <c:ptCount val="6"/>
                <c:pt idx="0">
                  <c:v>4175</c:v>
                </c:pt>
                <c:pt idx="1">
                  <c:v>5200</c:v>
                </c:pt>
                <c:pt idx="2">
                  <c:v>164500</c:v>
                </c:pt>
                <c:pt idx="3">
                  <c:v>215000</c:v>
                </c:pt>
                <c:pt idx="4">
                  <c:v>4132</c:v>
                </c:pt>
                <c:pt idx="5">
                  <c:v>45.2</c:v>
                </c:pt>
              </c:numCache>
            </c:numRef>
          </c:xVal>
          <c:yVal>
            <c:numRef>
              <c:f>'Old Data Sheet'!$H$54:$H$59</c:f>
              <c:numCache>
                <c:formatCode>General</c:formatCode>
                <c:ptCount val="6"/>
                <c:pt idx="0">
                  <c:v>66.599999999999994</c:v>
                </c:pt>
                <c:pt idx="1">
                  <c:v>695</c:v>
                </c:pt>
                <c:pt idx="2">
                  <c:v>435</c:v>
                </c:pt>
                <c:pt idx="3">
                  <c:v>40.700000000000003</c:v>
                </c:pt>
                <c:pt idx="4">
                  <c:v>475</c:v>
                </c:pt>
                <c:pt idx="5">
                  <c:v>3524.28</c:v>
                </c:pt>
              </c:numCache>
            </c:numRef>
          </c:yVal>
          <c:smooth val="0"/>
          <c:extLst>
            <c:ext xmlns:c16="http://schemas.microsoft.com/office/drawing/2014/chart" uri="{C3380CC4-5D6E-409C-BE32-E72D297353CC}">
              <c16:uniqueId val="{00000000-72EC-6249-BF92-79A1DE13DB8F}"/>
            </c:ext>
          </c:extLst>
        </c:ser>
        <c:dLbls>
          <c:showLegendKey val="0"/>
          <c:showVal val="0"/>
          <c:showCatName val="0"/>
          <c:showSerName val="0"/>
          <c:showPercent val="0"/>
          <c:showBubbleSize val="0"/>
        </c:dLbls>
        <c:axId val="1855690047"/>
        <c:axId val="1953237951"/>
      </c:scatterChart>
      <c:valAx>
        <c:axId val="1855690047"/>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37951"/>
        <c:crosses val="autoZero"/>
        <c:crossBetween val="midCat"/>
      </c:valAx>
      <c:valAx>
        <c:axId val="1953237951"/>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6900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FGM Concentration vs. Body Mass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'Old Data Sheet'!$X$1</c:f>
              <c:strCache>
                <c:ptCount val="1"/>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1.9611008948408749E-3"/>
                  <c:y val="0.1876590259485512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Sheet'!$X$3:$X$102</c:f>
              <c:numCache>
                <c:formatCode>#,##0</c:formatCode>
                <c:ptCount val="100"/>
                <c:pt idx="0">
                  <c:v>7000</c:v>
                </c:pt>
                <c:pt idx="1">
                  <c:v>750000</c:v>
                </c:pt>
                <c:pt idx="2">
                  <c:v>750000</c:v>
                </c:pt>
                <c:pt idx="3">
                  <c:v>61000</c:v>
                </c:pt>
                <c:pt idx="4">
                  <c:v>1600</c:v>
                </c:pt>
                <c:pt idx="5">
                  <c:v>164500</c:v>
                </c:pt>
                <c:pt idx="6">
                  <c:v>215000</c:v>
                </c:pt>
                <c:pt idx="7">
                  <c:v>21667</c:v>
                </c:pt>
                <c:pt idx="8" formatCode="General">
                  <c:v>728</c:v>
                </c:pt>
                <c:pt idx="9">
                  <c:v>2643</c:v>
                </c:pt>
                <c:pt idx="10">
                  <c:v>5735</c:v>
                </c:pt>
                <c:pt idx="11" formatCode="General">
                  <c:v>64.8</c:v>
                </c:pt>
                <c:pt idx="12">
                  <c:v>61000</c:v>
                </c:pt>
                <c:pt idx="13">
                  <c:v>4175</c:v>
                </c:pt>
                <c:pt idx="14" formatCode="General">
                  <c:v>105</c:v>
                </c:pt>
                <c:pt idx="15">
                  <c:v>164500</c:v>
                </c:pt>
                <c:pt idx="16">
                  <c:v>6500</c:v>
                </c:pt>
                <c:pt idx="17">
                  <c:v>17000</c:v>
                </c:pt>
                <c:pt idx="18">
                  <c:v>102500</c:v>
                </c:pt>
                <c:pt idx="19">
                  <c:v>45.2</c:v>
                </c:pt>
                <c:pt idx="20">
                  <c:v>4500</c:v>
                </c:pt>
                <c:pt idx="21">
                  <c:v>413</c:v>
                </c:pt>
                <c:pt idx="22">
                  <c:v>215000</c:v>
                </c:pt>
                <c:pt idx="23">
                  <c:v>215000</c:v>
                </c:pt>
                <c:pt idx="24">
                  <c:v>2643</c:v>
                </c:pt>
                <c:pt idx="25">
                  <c:v>5735</c:v>
                </c:pt>
                <c:pt idx="26">
                  <c:v>5000</c:v>
                </c:pt>
                <c:pt idx="27">
                  <c:v>139842</c:v>
                </c:pt>
                <c:pt idx="28" formatCode="General">
                  <c:v>64.8</c:v>
                </c:pt>
                <c:pt idx="29">
                  <c:v>2643</c:v>
                </c:pt>
                <c:pt idx="30">
                  <c:v>5735</c:v>
                </c:pt>
                <c:pt idx="31">
                  <c:v>5000</c:v>
                </c:pt>
                <c:pt idx="32">
                  <c:v>139842</c:v>
                </c:pt>
                <c:pt idx="33" formatCode="General">
                  <c:v>64.8</c:v>
                </c:pt>
                <c:pt idx="34">
                  <c:v>5000</c:v>
                </c:pt>
                <c:pt idx="35">
                  <c:v>2643</c:v>
                </c:pt>
                <c:pt idx="36">
                  <c:v>5735</c:v>
                </c:pt>
                <c:pt idx="37">
                  <c:v>139842</c:v>
                </c:pt>
                <c:pt idx="38" formatCode="General">
                  <c:v>64.8</c:v>
                </c:pt>
                <c:pt idx="39">
                  <c:v>119700</c:v>
                </c:pt>
                <c:pt idx="40">
                  <c:v>119700</c:v>
                </c:pt>
                <c:pt idx="41">
                  <c:v>1500</c:v>
                </c:pt>
                <c:pt idx="42">
                  <c:v>10650</c:v>
                </c:pt>
                <c:pt idx="43">
                  <c:v>1602330</c:v>
                </c:pt>
                <c:pt idx="44">
                  <c:v>20200</c:v>
                </c:pt>
                <c:pt idx="45">
                  <c:v>20.87</c:v>
                </c:pt>
                <c:pt idx="46">
                  <c:v>30</c:v>
                </c:pt>
                <c:pt idx="47">
                  <c:v>37</c:v>
                </c:pt>
                <c:pt idx="48" formatCode="General">
                  <c:v>21</c:v>
                </c:pt>
                <c:pt idx="49">
                  <c:v>3178000</c:v>
                </c:pt>
                <c:pt idx="50">
                  <c:v>3178000</c:v>
                </c:pt>
                <c:pt idx="51">
                  <c:v>4175</c:v>
                </c:pt>
                <c:pt idx="52">
                  <c:v>5200</c:v>
                </c:pt>
                <c:pt idx="53">
                  <c:v>164500</c:v>
                </c:pt>
                <c:pt idx="54">
                  <c:v>215000</c:v>
                </c:pt>
                <c:pt idx="55">
                  <c:v>4132</c:v>
                </c:pt>
                <c:pt idx="56">
                  <c:v>45.2</c:v>
                </c:pt>
                <c:pt idx="57" formatCode="General">
                  <c:v>412.5</c:v>
                </c:pt>
                <c:pt idx="58">
                  <c:v>200000</c:v>
                </c:pt>
                <c:pt idx="59" formatCode="General">
                  <c:v>11950</c:v>
                </c:pt>
                <c:pt idx="60">
                  <c:v>200000</c:v>
                </c:pt>
                <c:pt idx="61">
                  <c:v>87000</c:v>
                </c:pt>
                <c:pt idx="62">
                  <c:v>26500</c:v>
                </c:pt>
                <c:pt idx="63">
                  <c:v>17400</c:v>
                </c:pt>
                <c:pt idx="64">
                  <c:v>1100000</c:v>
                </c:pt>
                <c:pt idx="65">
                  <c:v>1300</c:v>
                </c:pt>
                <c:pt idx="66">
                  <c:v>700000</c:v>
                </c:pt>
                <c:pt idx="67">
                  <c:v>81150</c:v>
                </c:pt>
                <c:pt idx="68">
                  <c:v>63000</c:v>
                </c:pt>
                <c:pt idx="69" formatCode="General">
                  <c:v>3940034</c:v>
                </c:pt>
                <c:pt idx="70" formatCode="General">
                  <c:v>2800</c:v>
                </c:pt>
                <c:pt idx="71">
                  <c:v>215000</c:v>
                </c:pt>
                <c:pt idx="72">
                  <c:v>164500</c:v>
                </c:pt>
                <c:pt idx="73">
                  <c:v>139842</c:v>
                </c:pt>
                <c:pt idx="74">
                  <c:v>1332</c:v>
                </c:pt>
                <c:pt idx="75">
                  <c:v>800000</c:v>
                </c:pt>
                <c:pt idx="76">
                  <c:v>315000</c:v>
                </c:pt>
                <c:pt idx="77" formatCode="#,##0.00">
                  <c:v>38446.1</c:v>
                </c:pt>
                <c:pt idx="78">
                  <c:v>3900</c:v>
                </c:pt>
                <c:pt idx="79">
                  <c:v>100000</c:v>
                </c:pt>
                <c:pt idx="80">
                  <c:v>1021</c:v>
                </c:pt>
                <c:pt idx="81">
                  <c:v>19500</c:v>
                </c:pt>
                <c:pt idx="82">
                  <c:v>103750</c:v>
                </c:pt>
                <c:pt idx="83" formatCode="General">
                  <c:v>22983.200000000001</c:v>
                </c:pt>
                <c:pt idx="84">
                  <c:v>776</c:v>
                </c:pt>
                <c:pt idx="85">
                  <c:v>12000</c:v>
                </c:pt>
                <c:pt idx="86">
                  <c:v>117500</c:v>
                </c:pt>
                <c:pt idx="87">
                  <c:v>2175000</c:v>
                </c:pt>
                <c:pt idx="88">
                  <c:v>18000</c:v>
                </c:pt>
                <c:pt idx="89">
                  <c:v>45000</c:v>
                </c:pt>
                <c:pt idx="90">
                  <c:v>444900</c:v>
                </c:pt>
                <c:pt idx="91">
                  <c:v>384000</c:v>
                </c:pt>
                <c:pt idx="92">
                  <c:v>46000</c:v>
                </c:pt>
                <c:pt idx="93">
                  <c:v>43000</c:v>
                </c:pt>
                <c:pt idx="94">
                  <c:v>3500</c:v>
                </c:pt>
                <c:pt idx="95" formatCode="General">
                  <c:v>235</c:v>
                </c:pt>
                <c:pt idx="96">
                  <c:v>177500</c:v>
                </c:pt>
                <c:pt idx="97">
                  <c:v>101250</c:v>
                </c:pt>
                <c:pt idx="98">
                  <c:v>101250</c:v>
                </c:pt>
                <c:pt idx="99">
                  <c:v>277500</c:v>
                </c:pt>
              </c:numCache>
            </c:numRef>
          </c:xVal>
          <c:yVal>
            <c:numRef>
              <c:f>'Old Data Sheet'!$H$3:$H$102</c:f>
              <c:numCache>
                <c:formatCode>General</c:formatCode>
                <c:ptCount val="100"/>
                <c:pt idx="0">
                  <c:v>0</c:v>
                </c:pt>
                <c:pt idx="2">
                  <c:v>96.4</c:v>
                </c:pt>
                <c:pt idx="3">
                  <c:v>124</c:v>
                </c:pt>
                <c:pt idx="5">
                  <c:v>530</c:v>
                </c:pt>
                <c:pt idx="6">
                  <c:v>43.5</c:v>
                </c:pt>
                <c:pt idx="12">
                  <c:v>316</c:v>
                </c:pt>
                <c:pt idx="13">
                  <c:v>54.6</c:v>
                </c:pt>
                <c:pt idx="14">
                  <c:v>204.55</c:v>
                </c:pt>
                <c:pt idx="15">
                  <c:v>1050</c:v>
                </c:pt>
                <c:pt idx="16">
                  <c:v>84.5</c:v>
                </c:pt>
                <c:pt idx="17">
                  <c:v>181.5</c:v>
                </c:pt>
                <c:pt idx="18">
                  <c:v>130.333</c:v>
                </c:pt>
                <c:pt idx="19">
                  <c:v>1077.33</c:v>
                </c:pt>
                <c:pt idx="21">
                  <c:v>46.314999999999998</c:v>
                </c:pt>
                <c:pt idx="22">
                  <c:v>147.15</c:v>
                </c:pt>
                <c:pt idx="23">
                  <c:v>27</c:v>
                </c:pt>
                <c:pt idx="24">
                  <c:v>165</c:v>
                </c:pt>
                <c:pt idx="25">
                  <c:v>3125</c:v>
                </c:pt>
                <c:pt idx="26">
                  <c:v>917.5</c:v>
                </c:pt>
                <c:pt idx="27">
                  <c:v>620</c:v>
                </c:pt>
                <c:pt idx="28">
                  <c:v>200</c:v>
                </c:pt>
                <c:pt idx="29">
                  <c:v>935</c:v>
                </c:pt>
                <c:pt idx="30">
                  <c:v>1120</c:v>
                </c:pt>
                <c:pt idx="31">
                  <c:v>1270</c:v>
                </c:pt>
                <c:pt idx="32">
                  <c:v>450</c:v>
                </c:pt>
                <c:pt idx="33">
                  <c:v>120</c:v>
                </c:pt>
                <c:pt idx="39">
                  <c:v>101.455</c:v>
                </c:pt>
                <c:pt idx="40">
                  <c:v>101.44499999999999</c:v>
                </c:pt>
                <c:pt idx="42">
                  <c:v>1711.15</c:v>
                </c:pt>
                <c:pt idx="44">
                  <c:v>35.9</c:v>
                </c:pt>
                <c:pt idx="50">
                  <c:v>126.7</c:v>
                </c:pt>
                <c:pt idx="51">
                  <c:v>66.599999999999994</c:v>
                </c:pt>
                <c:pt idx="52">
                  <c:v>695</c:v>
                </c:pt>
                <c:pt idx="53">
                  <c:v>435</c:v>
                </c:pt>
                <c:pt idx="54">
                  <c:v>40.700000000000003</c:v>
                </c:pt>
                <c:pt idx="55">
                  <c:v>475</c:v>
                </c:pt>
                <c:pt idx="56">
                  <c:v>3524.28</c:v>
                </c:pt>
                <c:pt idx="60">
                  <c:v>26.03</c:v>
                </c:pt>
                <c:pt idx="61">
                  <c:v>67.5</c:v>
                </c:pt>
                <c:pt idx="62">
                  <c:v>267.75</c:v>
                </c:pt>
                <c:pt idx="66">
                  <c:v>40.19</c:v>
                </c:pt>
                <c:pt idx="69">
                  <c:v>332</c:v>
                </c:pt>
                <c:pt idx="71">
                  <c:v>109.05</c:v>
                </c:pt>
                <c:pt idx="72">
                  <c:v>670</c:v>
                </c:pt>
                <c:pt idx="74">
                  <c:v>1088.4000000000001</c:v>
                </c:pt>
                <c:pt idx="75">
                  <c:v>88.4833</c:v>
                </c:pt>
                <c:pt idx="76">
                  <c:v>168.434</c:v>
                </c:pt>
                <c:pt idx="78">
                  <c:v>568.29999999999995</c:v>
                </c:pt>
                <c:pt idx="79">
                  <c:v>112.8</c:v>
                </c:pt>
                <c:pt idx="80">
                  <c:v>272</c:v>
                </c:pt>
                <c:pt idx="81">
                  <c:v>551</c:v>
                </c:pt>
                <c:pt idx="82">
                  <c:v>125.80000000000001</c:v>
                </c:pt>
                <c:pt idx="83">
                  <c:v>528.35</c:v>
                </c:pt>
                <c:pt idx="84">
                  <c:v>285.2</c:v>
                </c:pt>
                <c:pt idx="87">
                  <c:v>12.7</c:v>
                </c:pt>
                <c:pt idx="90">
                  <c:v>24.02</c:v>
                </c:pt>
                <c:pt idx="97">
                  <c:v>60.66</c:v>
                </c:pt>
                <c:pt idx="98">
                  <c:v>41.3</c:v>
                </c:pt>
              </c:numCache>
            </c:numRef>
          </c:yVal>
          <c:smooth val="0"/>
          <c:extLst>
            <c:ext xmlns:c16="http://schemas.microsoft.com/office/drawing/2014/chart" uri="{C3380CC4-5D6E-409C-BE32-E72D297353CC}">
              <c16:uniqueId val="{00000001-2B50-DE4F-8F5A-8A3E017AEC1A}"/>
            </c:ext>
          </c:extLst>
        </c:ser>
        <c:dLbls>
          <c:showLegendKey val="0"/>
          <c:showVal val="0"/>
          <c:showCatName val="0"/>
          <c:showSerName val="0"/>
          <c:showPercent val="0"/>
          <c:showBubbleSize val="0"/>
        </c:dLbls>
        <c:axId val="519942687"/>
        <c:axId val="519672399"/>
      </c:scatterChart>
      <c:valAx>
        <c:axId val="519942687"/>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Body</a:t>
                </a:r>
                <a:r>
                  <a:rPr lang="en-US" baseline="0"/>
                  <a:t> Mass (g)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672399"/>
        <c:crosses val="autoZero"/>
        <c:crossBetween val="midCat"/>
      </c:valAx>
      <c:valAx>
        <c:axId val="519672399"/>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Basal</a:t>
                </a:r>
                <a:r>
                  <a:rPr lang="en-US" baseline="0"/>
                  <a:t> </a:t>
                </a:r>
                <a:r>
                  <a:rPr lang="en-US"/>
                  <a:t>Total</a:t>
                </a:r>
                <a:r>
                  <a:rPr lang="en-US" baseline="0"/>
                  <a:t> FGM Concentration (ng/g)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4268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Basal Cortisol Concentrations vs. Body Mass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249240298249916"/>
                  <c:y val="0.1459591099733723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600" baseline="0"/>
                      <a:t>y = 760.77x</a:t>
                    </a:r>
                    <a:r>
                      <a:rPr lang="en-US" sz="1600" baseline="30000"/>
                      <a:t>-0.232</a:t>
                    </a:r>
                    <a:br>
                      <a:rPr lang="en-US" sz="1600" baseline="0"/>
                    </a:br>
                    <a:r>
                      <a:rPr lang="en-US" sz="1600" baseline="0"/>
                      <a:t>R² = 0.0272</a:t>
                    </a:r>
                    <a:endParaRPr lang="en-US" sz="16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Sheet'!$X$3:$X$102</c:f>
              <c:numCache>
                <c:formatCode>#,##0</c:formatCode>
                <c:ptCount val="100"/>
                <c:pt idx="0">
                  <c:v>7000</c:v>
                </c:pt>
                <c:pt idx="1">
                  <c:v>750000</c:v>
                </c:pt>
                <c:pt idx="2">
                  <c:v>750000</c:v>
                </c:pt>
                <c:pt idx="3">
                  <c:v>61000</c:v>
                </c:pt>
                <c:pt idx="4">
                  <c:v>1600</c:v>
                </c:pt>
                <c:pt idx="5">
                  <c:v>164500</c:v>
                </c:pt>
                <c:pt idx="6">
                  <c:v>215000</c:v>
                </c:pt>
                <c:pt idx="7">
                  <c:v>21667</c:v>
                </c:pt>
                <c:pt idx="8" formatCode="General">
                  <c:v>728</c:v>
                </c:pt>
                <c:pt idx="9">
                  <c:v>2643</c:v>
                </c:pt>
                <c:pt idx="10">
                  <c:v>5735</c:v>
                </c:pt>
                <c:pt idx="11" formatCode="General">
                  <c:v>64.8</c:v>
                </c:pt>
                <c:pt idx="12">
                  <c:v>61000</c:v>
                </c:pt>
                <c:pt idx="13">
                  <c:v>4175</c:v>
                </c:pt>
                <c:pt idx="14" formatCode="General">
                  <c:v>105</c:v>
                </c:pt>
                <c:pt idx="15">
                  <c:v>164500</c:v>
                </c:pt>
                <c:pt idx="16">
                  <c:v>6500</c:v>
                </c:pt>
                <c:pt idx="17">
                  <c:v>17000</c:v>
                </c:pt>
                <c:pt idx="18">
                  <c:v>102500</c:v>
                </c:pt>
                <c:pt idx="19">
                  <c:v>45.2</c:v>
                </c:pt>
                <c:pt idx="20">
                  <c:v>4500</c:v>
                </c:pt>
                <c:pt idx="21">
                  <c:v>413</c:v>
                </c:pt>
                <c:pt idx="22">
                  <c:v>215000</c:v>
                </c:pt>
                <c:pt idx="23">
                  <c:v>215000</c:v>
                </c:pt>
                <c:pt idx="24">
                  <c:v>2643</c:v>
                </c:pt>
                <c:pt idx="25">
                  <c:v>5735</c:v>
                </c:pt>
                <c:pt idx="26">
                  <c:v>5000</c:v>
                </c:pt>
                <c:pt idx="27">
                  <c:v>139842</c:v>
                </c:pt>
                <c:pt idx="28" formatCode="General">
                  <c:v>64.8</c:v>
                </c:pt>
                <c:pt idx="29">
                  <c:v>2643</c:v>
                </c:pt>
                <c:pt idx="30">
                  <c:v>5735</c:v>
                </c:pt>
                <c:pt idx="31">
                  <c:v>5000</c:v>
                </c:pt>
                <c:pt idx="32">
                  <c:v>139842</c:v>
                </c:pt>
                <c:pt idx="33" formatCode="General">
                  <c:v>64.8</c:v>
                </c:pt>
                <c:pt idx="34">
                  <c:v>5000</c:v>
                </c:pt>
                <c:pt idx="35">
                  <c:v>2643</c:v>
                </c:pt>
                <c:pt idx="36">
                  <c:v>5735</c:v>
                </c:pt>
                <c:pt idx="37">
                  <c:v>139842</c:v>
                </c:pt>
                <c:pt idx="38" formatCode="General">
                  <c:v>64.8</c:v>
                </c:pt>
                <c:pt idx="39">
                  <c:v>119700</c:v>
                </c:pt>
                <c:pt idx="40">
                  <c:v>119700</c:v>
                </c:pt>
                <c:pt idx="41">
                  <c:v>1500</c:v>
                </c:pt>
                <c:pt idx="42">
                  <c:v>10650</c:v>
                </c:pt>
                <c:pt idx="43">
                  <c:v>1602330</c:v>
                </c:pt>
                <c:pt idx="44">
                  <c:v>20200</c:v>
                </c:pt>
                <c:pt idx="45">
                  <c:v>20.87</c:v>
                </c:pt>
                <c:pt idx="46">
                  <c:v>30</c:v>
                </c:pt>
                <c:pt idx="47">
                  <c:v>37</c:v>
                </c:pt>
                <c:pt idx="48" formatCode="General">
                  <c:v>21</c:v>
                </c:pt>
                <c:pt idx="49">
                  <c:v>3178000</c:v>
                </c:pt>
                <c:pt idx="50">
                  <c:v>3178000</c:v>
                </c:pt>
                <c:pt idx="51">
                  <c:v>4175</c:v>
                </c:pt>
                <c:pt idx="52">
                  <c:v>5200</c:v>
                </c:pt>
                <c:pt idx="53">
                  <c:v>164500</c:v>
                </c:pt>
                <c:pt idx="54">
                  <c:v>215000</c:v>
                </c:pt>
                <c:pt idx="55">
                  <c:v>4132</c:v>
                </c:pt>
                <c:pt idx="56">
                  <c:v>45.2</c:v>
                </c:pt>
                <c:pt idx="57" formatCode="General">
                  <c:v>412.5</c:v>
                </c:pt>
                <c:pt idx="58">
                  <c:v>200000</c:v>
                </c:pt>
                <c:pt idx="59" formatCode="General">
                  <c:v>11950</c:v>
                </c:pt>
                <c:pt idx="60">
                  <c:v>200000</c:v>
                </c:pt>
                <c:pt idx="61">
                  <c:v>87000</c:v>
                </c:pt>
                <c:pt idx="62">
                  <c:v>26500</c:v>
                </c:pt>
                <c:pt idx="63">
                  <c:v>17400</c:v>
                </c:pt>
                <c:pt idx="64">
                  <c:v>1100000</c:v>
                </c:pt>
                <c:pt idx="65">
                  <c:v>1300</c:v>
                </c:pt>
                <c:pt idx="66">
                  <c:v>700000</c:v>
                </c:pt>
                <c:pt idx="67">
                  <c:v>81150</c:v>
                </c:pt>
                <c:pt idx="68">
                  <c:v>63000</c:v>
                </c:pt>
                <c:pt idx="69" formatCode="General">
                  <c:v>3940034</c:v>
                </c:pt>
                <c:pt idx="70" formatCode="General">
                  <c:v>2800</c:v>
                </c:pt>
                <c:pt idx="71">
                  <c:v>215000</c:v>
                </c:pt>
                <c:pt idx="72">
                  <c:v>164500</c:v>
                </c:pt>
                <c:pt idx="73">
                  <c:v>139842</c:v>
                </c:pt>
                <c:pt idx="74">
                  <c:v>1332</c:v>
                </c:pt>
                <c:pt idx="75">
                  <c:v>800000</c:v>
                </c:pt>
                <c:pt idx="76">
                  <c:v>315000</c:v>
                </c:pt>
                <c:pt idx="77" formatCode="#,##0.00">
                  <c:v>38446.1</c:v>
                </c:pt>
                <c:pt idx="78">
                  <c:v>3900</c:v>
                </c:pt>
                <c:pt idx="79">
                  <c:v>100000</c:v>
                </c:pt>
                <c:pt idx="80">
                  <c:v>1021</c:v>
                </c:pt>
                <c:pt idx="81">
                  <c:v>19500</c:v>
                </c:pt>
                <c:pt idx="82">
                  <c:v>103750</c:v>
                </c:pt>
                <c:pt idx="83" formatCode="General">
                  <c:v>22983.200000000001</c:v>
                </c:pt>
                <c:pt idx="84">
                  <c:v>776</c:v>
                </c:pt>
                <c:pt idx="85">
                  <c:v>12000</c:v>
                </c:pt>
                <c:pt idx="86">
                  <c:v>117500</c:v>
                </c:pt>
                <c:pt idx="87">
                  <c:v>2175000</c:v>
                </c:pt>
                <c:pt idx="88">
                  <c:v>18000</c:v>
                </c:pt>
                <c:pt idx="89">
                  <c:v>45000</c:v>
                </c:pt>
                <c:pt idx="90">
                  <c:v>444900</c:v>
                </c:pt>
                <c:pt idx="91">
                  <c:v>384000</c:v>
                </c:pt>
                <c:pt idx="92">
                  <c:v>46000</c:v>
                </c:pt>
                <c:pt idx="93">
                  <c:v>43000</c:v>
                </c:pt>
                <c:pt idx="94">
                  <c:v>3500</c:v>
                </c:pt>
                <c:pt idx="95" formatCode="General">
                  <c:v>235</c:v>
                </c:pt>
                <c:pt idx="96">
                  <c:v>177500</c:v>
                </c:pt>
                <c:pt idx="97">
                  <c:v>101250</c:v>
                </c:pt>
                <c:pt idx="98">
                  <c:v>101250</c:v>
                </c:pt>
                <c:pt idx="99">
                  <c:v>277500</c:v>
                </c:pt>
              </c:numCache>
            </c:numRef>
          </c:xVal>
          <c:yVal>
            <c:numRef>
              <c:f>'Old Data Sheet'!$C$3:$C$102</c:f>
              <c:numCache>
                <c:formatCode>General</c:formatCode>
                <c:ptCount val="100"/>
                <c:pt idx="1">
                  <c:v>20.6</c:v>
                </c:pt>
                <c:pt idx="4">
                  <c:v>1054</c:v>
                </c:pt>
                <c:pt idx="7">
                  <c:v>60.92</c:v>
                </c:pt>
                <c:pt idx="8">
                  <c:v>349.23</c:v>
                </c:pt>
                <c:pt idx="9">
                  <c:v>7860</c:v>
                </c:pt>
                <c:pt idx="10">
                  <c:v>35.5</c:v>
                </c:pt>
                <c:pt idx="11">
                  <c:v>420</c:v>
                </c:pt>
                <c:pt idx="20">
                  <c:v>2625</c:v>
                </c:pt>
                <c:pt idx="34">
                  <c:v>21</c:v>
                </c:pt>
                <c:pt idx="41">
                  <c:v>642.1</c:v>
                </c:pt>
                <c:pt idx="43">
                  <c:v>9.66</c:v>
                </c:pt>
                <c:pt idx="49">
                  <c:v>49.643599999999999</c:v>
                </c:pt>
                <c:pt idx="57">
                  <c:v>263.02999999999997</c:v>
                </c:pt>
                <c:pt idx="58">
                  <c:v>0.72850000000000004</c:v>
                </c:pt>
                <c:pt idx="59">
                  <c:v>51.505000000000003</c:v>
                </c:pt>
                <c:pt idx="64">
                  <c:v>45.029000000000003</c:v>
                </c:pt>
                <c:pt idx="65">
                  <c:v>25.683</c:v>
                </c:pt>
                <c:pt idx="67">
                  <c:v>307.8</c:v>
                </c:pt>
                <c:pt idx="68">
                  <c:v>43.75</c:v>
                </c:pt>
                <c:pt idx="70">
                  <c:v>4.375</c:v>
                </c:pt>
                <c:pt idx="71">
                  <c:v>6.3</c:v>
                </c:pt>
                <c:pt idx="72">
                  <c:v>30</c:v>
                </c:pt>
                <c:pt idx="73">
                  <c:v>20</c:v>
                </c:pt>
                <c:pt idx="74">
                  <c:v>58.4</c:v>
                </c:pt>
                <c:pt idx="75">
                  <c:v>23.725000000000001</c:v>
                </c:pt>
                <c:pt idx="76">
                  <c:v>64.122</c:v>
                </c:pt>
                <c:pt idx="77">
                  <c:v>618.5</c:v>
                </c:pt>
                <c:pt idx="78">
                  <c:v>213.6</c:v>
                </c:pt>
                <c:pt idx="79">
                  <c:v>48.7</c:v>
                </c:pt>
                <c:pt idx="80">
                  <c:v>170.1</c:v>
                </c:pt>
                <c:pt idx="81">
                  <c:v>248.8</c:v>
                </c:pt>
                <c:pt idx="82">
                  <c:v>80.7</c:v>
                </c:pt>
                <c:pt idx="83">
                  <c:v>312.55</c:v>
                </c:pt>
                <c:pt idx="84">
                  <c:v>110.2</c:v>
                </c:pt>
                <c:pt idx="85">
                  <c:v>47.548299999999998</c:v>
                </c:pt>
                <c:pt idx="86">
                  <c:v>114.66</c:v>
                </c:pt>
                <c:pt idx="87">
                  <c:v>4.0999999999999996</c:v>
                </c:pt>
                <c:pt idx="88">
                  <c:v>63.3</c:v>
                </c:pt>
                <c:pt idx="89">
                  <c:v>3.2</c:v>
                </c:pt>
                <c:pt idx="92">
                  <c:v>97.421999999999997</c:v>
                </c:pt>
                <c:pt idx="93">
                  <c:v>45.469000000000001</c:v>
                </c:pt>
                <c:pt idx="95">
                  <c:v>138.59800000000001</c:v>
                </c:pt>
                <c:pt idx="96">
                  <c:v>83.043000000000006</c:v>
                </c:pt>
                <c:pt idx="99">
                  <c:v>19.042999999999999</c:v>
                </c:pt>
              </c:numCache>
            </c:numRef>
          </c:yVal>
          <c:smooth val="0"/>
          <c:extLst>
            <c:ext xmlns:c16="http://schemas.microsoft.com/office/drawing/2014/chart" uri="{C3380CC4-5D6E-409C-BE32-E72D297353CC}">
              <c16:uniqueId val="{00000001-9704-A447-826E-045DCB100C96}"/>
            </c:ext>
          </c:extLst>
        </c:ser>
        <c:dLbls>
          <c:showLegendKey val="0"/>
          <c:showVal val="0"/>
          <c:showCatName val="0"/>
          <c:showSerName val="0"/>
          <c:showPercent val="0"/>
          <c:showBubbleSize val="0"/>
        </c:dLbls>
        <c:axId val="166297407"/>
        <c:axId val="166299087"/>
      </c:scatterChart>
      <c:valAx>
        <c:axId val="166297407"/>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Body Mass (g)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99087"/>
        <c:crosses val="autoZero"/>
        <c:crossBetween val="midCat"/>
      </c:valAx>
      <c:valAx>
        <c:axId val="166299087"/>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Basal</a:t>
                </a:r>
                <a:r>
                  <a:rPr lang="en-US" baseline="0"/>
                  <a:t> Cortisol Concentrations (ng/g)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974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Basal Corticosterone</a:t>
            </a:r>
            <a:r>
              <a:rPr lang="en-US" baseline="0"/>
              <a:t> Concentrations vs. Body Mass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'Old Data Sheet'!$X$1</c:f>
              <c:strCache>
                <c:ptCount val="1"/>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11557612195027346"/>
                  <c:y val="-0.2214966344011062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Sheet'!$X$3:$X$102</c:f>
              <c:numCache>
                <c:formatCode>#,##0</c:formatCode>
                <c:ptCount val="100"/>
                <c:pt idx="0">
                  <c:v>7000</c:v>
                </c:pt>
                <c:pt idx="1">
                  <c:v>750000</c:v>
                </c:pt>
                <c:pt idx="2">
                  <c:v>750000</c:v>
                </c:pt>
                <c:pt idx="3">
                  <c:v>61000</c:v>
                </c:pt>
                <c:pt idx="4">
                  <c:v>1600</c:v>
                </c:pt>
                <c:pt idx="5">
                  <c:v>164500</c:v>
                </c:pt>
                <c:pt idx="6">
                  <c:v>215000</c:v>
                </c:pt>
                <c:pt idx="7">
                  <c:v>21667</c:v>
                </c:pt>
                <c:pt idx="8" formatCode="General">
                  <c:v>728</c:v>
                </c:pt>
                <c:pt idx="9">
                  <c:v>2643</c:v>
                </c:pt>
                <c:pt idx="10">
                  <c:v>5735</c:v>
                </c:pt>
                <c:pt idx="11" formatCode="General">
                  <c:v>64.8</c:v>
                </c:pt>
                <c:pt idx="12">
                  <c:v>61000</c:v>
                </c:pt>
                <c:pt idx="13">
                  <c:v>4175</c:v>
                </c:pt>
                <c:pt idx="14" formatCode="General">
                  <c:v>105</c:v>
                </c:pt>
                <c:pt idx="15">
                  <c:v>164500</c:v>
                </c:pt>
                <c:pt idx="16">
                  <c:v>6500</c:v>
                </c:pt>
                <c:pt idx="17">
                  <c:v>17000</c:v>
                </c:pt>
                <c:pt idx="18">
                  <c:v>102500</c:v>
                </c:pt>
                <c:pt idx="19">
                  <c:v>45.2</c:v>
                </c:pt>
                <c:pt idx="20">
                  <c:v>4500</c:v>
                </c:pt>
                <c:pt idx="21">
                  <c:v>413</c:v>
                </c:pt>
                <c:pt idx="22">
                  <c:v>215000</c:v>
                </c:pt>
                <c:pt idx="23">
                  <c:v>215000</c:v>
                </c:pt>
                <c:pt idx="24">
                  <c:v>2643</c:v>
                </c:pt>
                <c:pt idx="25">
                  <c:v>5735</c:v>
                </c:pt>
                <c:pt idx="26">
                  <c:v>5000</c:v>
                </c:pt>
                <c:pt idx="27">
                  <c:v>139842</c:v>
                </c:pt>
                <c:pt idx="28" formatCode="General">
                  <c:v>64.8</c:v>
                </c:pt>
                <c:pt idx="29">
                  <c:v>2643</c:v>
                </c:pt>
                <c:pt idx="30">
                  <c:v>5735</c:v>
                </c:pt>
                <c:pt idx="31">
                  <c:v>5000</c:v>
                </c:pt>
                <c:pt idx="32">
                  <c:v>139842</c:v>
                </c:pt>
                <c:pt idx="33" formatCode="General">
                  <c:v>64.8</c:v>
                </c:pt>
                <c:pt idx="34">
                  <c:v>5000</c:v>
                </c:pt>
                <c:pt idx="35">
                  <c:v>2643</c:v>
                </c:pt>
                <c:pt idx="36">
                  <c:v>5735</c:v>
                </c:pt>
                <c:pt idx="37">
                  <c:v>139842</c:v>
                </c:pt>
                <c:pt idx="38" formatCode="General">
                  <c:v>64.8</c:v>
                </c:pt>
                <c:pt idx="39">
                  <c:v>119700</c:v>
                </c:pt>
                <c:pt idx="40">
                  <c:v>119700</c:v>
                </c:pt>
                <c:pt idx="41">
                  <c:v>1500</c:v>
                </c:pt>
                <c:pt idx="42">
                  <c:v>10650</c:v>
                </c:pt>
                <c:pt idx="43">
                  <c:v>1602330</c:v>
                </c:pt>
                <c:pt idx="44">
                  <c:v>20200</c:v>
                </c:pt>
                <c:pt idx="45">
                  <c:v>20.87</c:v>
                </c:pt>
                <c:pt idx="46">
                  <c:v>30</c:v>
                </c:pt>
                <c:pt idx="47">
                  <c:v>37</c:v>
                </c:pt>
                <c:pt idx="48" formatCode="General">
                  <c:v>21</c:v>
                </c:pt>
                <c:pt idx="49">
                  <c:v>3178000</c:v>
                </c:pt>
                <c:pt idx="50">
                  <c:v>3178000</c:v>
                </c:pt>
                <c:pt idx="51">
                  <c:v>4175</c:v>
                </c:pt>
                <c:pt idx="52">
                  <c:v>5200</c:v>
                </c:pt>
                <c:pt idx="53">
                  <c:v>164500</c:v>
                </c:pt>
                <c:pt idx="54">
                  <c:v>215000</c:v>
                </c:pt>
                <c:pt idx="55">
                  <c:v>4132</c:v>
                </c:pt>
                <c:pt idx="56">
                  <c:v>45.2</c:v>
                </c:pt>
                <c:pt idx="57" formatCode="General">
                  <c:v>412.5</c:v>
                </c:pt>
                <c:pt idx="58">
                  <c:v>200000</c:v>
                </c:pt>
                <c:pt idx="59" formatCode="General">
                  <c:v>11950</c:v>
                </c:pt>
                <c:pt idx="60">
                  <c:v>200000</c:v>
                </c:pt>
                <c:pt idx="61">
                  <c:v>87000</c:v>
                </c:pt>
                <c:pt idx="62">
                  <c:v>26500</c:v>
                </c:pt>
                <c:pt idx="63">
                  <c:v>17400</c:v>
                </c:pt>
                <c:pt idx="64">
                  <c:v>1100000</c:v>
                </c:pt>
                <c:pt idx="65">
                  <c:v>1300</c:v>
                </c:pt>
                <c:pt idx="66">
                  <c:v>700000</c:v>
                </c:pt>
                <c:pt idx="67">
                  <c:v>81150</c:v>
                </c:pt>
                <c:pt idx="68">
                  <c:v>63000</c:v>
                </c:pt>
                <c:pt idx="69" formatCode="General">
                  <c:v>3940034</c:v>
                </c:pt>
                <c:pt idx="70" formatCode="General">
                  <c:v>2800</c:v>
                </c:pt>
                <c:pt idx="71">
                  <c:v>215000</c:v>
                </c:pt>
                <c:pt idx="72">
                  <c:v>164500</c:v>
                </c:pt>
                <c:pt idx="73">
                  <c:v>139842</c:v>
                </c:pt>
                <c:pt idx="74">
                  <c:v>1332</c:v>
                </c:pt>
                <c:pt idx="75">
                  <c:v>800000</c:v>
                </c:pt>
                <c:pt idx="76">
                  <c:v>315000</c:v>
                </c:pt>
                <c:pt idx="77" formatCode="#,##0.00">
                  <c:v>38446.1</c:v>
                </c:pt>
                <c:pt idx="78">
                  <c:v>3900</c:v>
                </c:pt>
                <c:pt idx="79">
                  <c:v>100000</c:v>
                </c:pt>
                <c:pt idx="80">
                  <c:v>1021</c:v>
                </c:pt>
                <c:pt idx="81">
                  <c:v>19500</c:v>
                </c:pt>
                <c:pt idx="82">
                  <c:v>103750</c:v>
                </c:pt>
                <c:pt idx="83" formatCode="General">
                  <c:v>22983.200000000001</c:v>
                </c:pt>
                <c:pt idx="84">
                  <c:v>776</c:v>
                </c:pt>
                <c:pt idx="85">
                  <c:v>12000</c:v>
                </c:pt>
                <c:pt idx="86">
                  <c:v>117500</c:v>
                </c:pt>
                <c:pt idx="87">
                  <c:v>2175000</c:v>
                </c:pt>
                <c:pt idx="88">
                  <c:v>18000</c:v>
                </c:pt>
                <c:pt idx="89">
                  <c:v>45000</c:v>
                </c:pt>
                <c:pt idx="90">
                  <c:v>444900</c:v>
                </c:pt>
                <c:pt idx="91">
                  <c:v>384000</c:v>
                </c:pt>
                <c:pt idx="92">
                  <c:v>46000</c:v>
                </c:pt>
                <c:pt idx="93">
                  <c:v>43000</c:v>
                </c:pt>
                <c:pt idx="94">
                  <c:v>3500</c:v>
                </c:pt>
                <c:pt idx="95" formatCode="General">
                  <c:v>235</c:v>
                </c:pt>
                <c:pt idx="96">
                  <c:v>177500</c:v>
                </c:pt>
                <c:pt idx="97">
                  <c:v>101250</c:v>
                </c:pt>
                <c:pt idx="98">
                  <c:v>101250</c:v>
                </c:pt>
                <c:pt idx="99">
                  <c:v>277500</c:v>
                </c:pt>
              </c:numCache>
            </c:numRef>
          </c:xVal>
          <c:yVal>
            <c:numRef>
              <c:f>'Old Data Sheet'!$D$3:$D$102</c:f>
              <c:numCache>
                <c:formatCode>General</c:formatCode>
                <c:ptCount val="100"/>
                <c:pt idx="35">
                  <c:v>1240</c:v>
                </c:pt>
                <c:pt idx="36">
                  <c:v>25</c:v>
                </c:pt>
                <c:pt idx="37">
                  <c:v>60</c:v>
                </c:pt>
                <c:pt idx="38">
                  <c:v>90</c:v>
                </c:pt>
                <c:pt idx="45">
                  <c:v>1743.1</c:v>
                </c:pt>
                <c:pt idx="46">
                  <c:v>2842.33</c:v>
                </c:pt>
                <c:pt idx="47">
                  <c:v>1711.28</c:v>
                </c:pt>
                <c:pt idx="48">
                  <c:v>1436.55</c:v>
                </c:pt>
                <c:pt idx="58">
                  <c:v>5.1319999999999997</c:v>
                </c:pt>
                <c:pt idx="71">
                  <c:v>102.75</c:v>
                </c:pt>
                <c:pt idx="72">
                  <c:v>640</c:v>
                </c:pt>
                <c:pt idx="74">
                  <c:v>1030</c:v>
                </c:pt>
                <c:pt idx="75">
                  <c:v>64.758300000000006</c:v>
                </c:pt>
                <c:pt idx="76">
                  <c:v>104.312</c:v>
                </c:pt>
                <c:pt idx="77">
                  <c:v>232.9</c:v>
                </c:pt>
                <c:pt idx="78">
                  <c:v>354.7</c:v>
                </c:pt>
                <c:pt idx="79">
                  <c:v>64.099999999999994</c:v>
                </c:pt>
                <c:pt idx="80">
                  <c:v>101.9</c:v>
                </c:pt>
                <c:pt idx="81">
                  <c:v>302.2</c:v>
                </c:pt>
                <c:pt idx="82">
                  <c:v>45.1</c:v>
                </c:pt>
                <c:pt idx="83">
                  <c:v>215.8</c:v>
                </c:pt>
                <c:pt idx="84">
                  <c:v>175</c:v>
                </c:pt>
                <c:pt idx="87">
                  <c:v>8.6</c:v>
                </c:pt>
                <c:pt idx="91">
                  <c:v>16.2</c:v>
                </c:pt>
                <c:pt idx="94">
                  <c:v>132</c:v>
                </c:pt>
              </c:numCache>
            </c:numRef>
          </c:yVal>
          <c:smooth val="0"/>
          <c:extLst>
            <c:ext xmlns:c16="http://schemas.microsoft.com/office/drawing/2014/chart" uri="{C3380CC4-5D6E-409C-BE32-E72D297353CC}">
              <c16:uniqueId val="{00000001-4EA4-6A4F-87BD-7C561A8A6FAC}"/>
            </c:ext>
          </c:extLst>
        </c:ser>
        <c:dLbls>
          <c:showLegendKey val="0"/>
          <c:showVal val="0"/>
          <c:showCatName val="0"/>
          <c:showSerName val="0"/>
          <c:showPercent val="0"/>
          <c:showBubbleSize val="0"/>
        </c:dLbls>
        <c:axId val="174847711"/>
        <c:axId val="110794127"/>
      </c:scatterChart>
      <c:valAx>
        <c:axId val="174847711"/>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Body Mass (g)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94127"/>
        <c:crosses val="autoZero"/>
        <c:crossBetween val="midCat"/>
      </c:valAx>
      <c:valAx>
        <c:axId val="110794127"/>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Basal Corticosterone Concentration (ng/g)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4771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Basal</a:t>
            </a:r>
            <a:r>
              <a:rPr lang="en-US" baseline="0"/>
              <a:t> Total FGM Concentration vs. MSMR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'Old Data Sheet'!$Y$1</c:f>
              <c:strCache>
                <c:ptCount val="1"/>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20005379886027141"/>
                  <c:y val="3.8686873589802995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600" baseline="0"/>
                      <a:t>y = 21780x</a:t>
                    </a:r>
                    <a:r>
                      <a:rPr lang="en-US" sz="1600" baseline="30000"/>
                      <a:t>0.7476</a:t>
                    </a:r>
                    <a:br>
                      <a:rPr lang="en-US" sz="1600" baseline="0"/>
                    </a:br>
                    <a:r>
                      <a:rPr lang="en-US" sz="1600" baseline="0"/>
                      <a:t>R² = 0.2151</a:t>
                    </a:r>
                    <a:endParaRPr lang="en-US" sz="16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Sheet'!$Y$3:$Y$102</c:f>
              <c:numCache>
                <c:formatCode>General</c:formatCode>
                <c:ptCount val="100"/>
                <c:pt idx="1">
                  <c:v>8.8400000000000002E-4</c:v>
                </c:pt>
                <c:pt idx="2">
                  <c:v>8.8400000000000002E-4</c:v>
                </c:pt>
                <c:pt idx="4">
                  <c:v>4.1840000000000002E-3</c:v>
                </c:pt>
                <c:pt idx="5">
                  <c:v>1.1709999999999999E-3</c:v>
                </c:pt>
                <c:pt idx="7">
                  <c:v>2.1559999999999999E-3</c:v>
                </c:pt>
                <c:pt idx="8">
                  <c:v>3.333E-3</c:v>
                </c:pt>
                <c:pt idx="13">
                  <c:v>2.8010000000000001E-3</c:v>
                </c:pt>
                <c:pt idx="14">
                  <c:v>6.3769999999999999E-3</c:v>
                </c:pt>
                <c:pt idx="15">
                  <c:v>1.1709999999999999E-3</c:v>
                </c:pt>
                <c:pt idx="16">
                  <c:v>1.562E-3</c:v>
                </c:pt>
                <c:pt idx="19">
                  <c:v>6.143E-3</c:v>
                </c:pt>
                <c:pt idx="20">
                  <c:v>1.433E-3</c:v>
                </c:pt>
                <c:pt idx="21">
                  <c:v>4.4999999999999997E-3</c:v>
                </c:pt>
                <c:pt idx="26">
                  <c:v>1.116E-3</c:v>
                </c:pt>
                <c:pt idx="31">
                  <c:v>1.116E-3</c:v>
                </c:pt>
                <c:pt idx="34">
                  <c:v>1.116E-3</c:v>
                </c:pt>
                <c:pt idx="39">
                  <c:v>9.7099999999999997E-4</c:v>
                </c:pt>
                <c:pt idx="40">
                  <c:v>9.7099999999999997E-4</c:v>
                </c:pt>
                <c:pt idx="41">
                  <c:v>1.01E-3</c:v>
                </c:pt>
                <c:pt idx="44">
                  <c:v>1.6180000000000001E-3</c:v>
                </c:pt>
                <c:pt idx="46">
                  <c:v>7.9799999999999992E-3</c:v>
                </c:pt>
                <c:pt idx="47">
                  <c:v>4.1840000000000002E-3</c:v>
                </c:pt>
                <c:pt idx="48">
                  <c:v>1.0683E-2</c:v>
                </c:pt>
                <c:pt idx="49">
                  <c:v>6.3599999999999996E-4</c:v>
                </c:pt>
                <c:pt idx="50">
                  <c:v>6.3599999999999996E-4</c:v>
                </c:pt>
                <c:pt idx="51">
                  <c:v>2.8010000000000001E-3</c:v>
                </c:pt>
                <c:pt idx="52">
                  <c:v>2.1289999999999998E-3</c:v>
                </c:pt>
                <c:pt idx="53">
                  <c:v>1.1709999999999999E-3</c:v>
                </c:pt>
                <c:pt idx="55">
                  <c:v>2.9979999999999998E-3</c:v>
                </c:pt>
                <c:pt idx="56">
                  <c:v>6.143E-3</c:v>
                </c:pt>
                <c:pt idx="58">
                  <c:v>1.678E-3</c:v>
                </c:pt>
                <c:pt idx="60">
                  <c:v>1.678E-3</c:v>
                </c:pt>
                <c:pt idx="61">
                  <c:v>1.9959999999999999E-3</c:v>
                </c:pt>
                <c:pt idx="62">
                  <c:v>3.7729999999999999E-3</c:v>
                </c:pt>
                <c:pt idx="65">
                  <c:v>2.9889999999999999E-3</c:v>
                </c:pt>
                <c:pt idx="67">
                  <c:v>1.238E-3</c:v>
                </c:pt>
                <c:pt idx="69">
                  <c:v>8.9999999999999998E-4</c:v>
                </c:pt>
                <c:pt idx="72">
                  <c:v>1.1709999999999999E-3</c:v>
                </c:pt>
                <c:pt idx="75">
                  <c:v>8.7399999999999999E-4</c:v>
                </c:pt>
                <c:pt idx="77">
                  <c:v>1.6069999999999999E-3</c:v>
                </c:pt>
                <c:pt idx="79">
                  <c:v>7.0299999999999996E-4</c:v>
                </c:pt>
                <c:pt idx="84">
                  <c:v>2.0339999999999998E-3</c:v>
                </c:pt>
                <c:pt idx="88">
                  <c:v>1.665E-3</c:v>
                </c:pt>
                <c:pt idx="89">
                  <c:v>2.5999999999999999E-3</c:v>
                </c:pt>
                <c:pt idx="90">
                  <c:v>1.4E-3</c:v>
                </c:pt>
                <c:pt idx="94">
                  <c:v>2.0079999999999998E-3</c:v>
                </c:pt>
                <c:pt idx="95">
                  <c:v>4.7999999999999996E-3</c:v>
                </c:pt>
                <c:pt idx="97">
                  <c:v>1.408E-3</c:v>
                </c:pt>
                <c:pt idx="98">
                  <c:v>1.408E-3</c:v>
                </c:pt>
              </c:numCache>
            </c:numRef>
          </c:xVal>
          <c:yVal>
            <c:numRef>
              <c:f>'Old Data Sheet'!$H$3:$H$102</c:f>
              <c:numCache>
                <c:formatCode>General</c:formatCode>
                <c:ptCount val="100"/>
                <c:pt idx="0">
                  <c:v>0</c:v>
                </c:pt>
                <c:pt idx="2">
                  <c:v>96.4</c:v>
                </c:pt>
                <c:pt idx="3">
                  <c:v>124</c:v>
                </c:pt>
                <c:pt idx="5">
                  <c:v>530</c:v>
                </c:pt>
                <c:pt idx="6">
                  <c:v>43.5</c:v>
                </c:pt>
                <c:pt idx="12">
                  <c:v>316</c:v>
                </c:pt>
                <c:pt idx="13">
                  <c:v>54.6</c:v>
                </c:pt>
                <c:pt idx="14">
                  <c:v>204.55</c:v>
                </c:pt>
                <c:pt idx="15">
                  <c:v>1050</c:v>
                </c:pt>
                <c:pt idx="16">
                  <c:v>84.5</c:v>
                </c:pt>
                <c:pt idx="17">
                  <c:v>181.5</c:v>
                </c:pt>
                <c:pt idx="18">
                  <c:v>130.333</c:v>
                </c:pt>
                <c:pt idx="19">
                  <c:v>1077.33</c:v>
                </c:pt>
                <c:pt idx="21">
                  <c:v>46.314999999999998</c:v>
                </c:pt>
                <c:pt idx="22">
                  <c:v>147.15</c:v>
                </c:pt>
                <c:pt idx="23">
                  <c:v>27</c:v>
                </c:pt>
                <c:pt idx="24">
                  <c:v>165</c:v>
                </c:pt>
                <c:pt idx="25">
                  <c:v>3125</c:v>
                </c:pt>
                <c:pt idx="26">
                  <c:v>917.5</c:v>
                </c:pt>
                <c:pt idx="27">
                  <c:v>620</c:v>
                </c:pt>
                <c:pt idx="28">
                  <c:v>200</c:v>
                </c:pt>
                <c:pt idx="29">
                  <c:v>935</c:v>
                </c:pt>
                <c:pt idx="30">
                  <c:v>1120</c:v>
                </c:pt>
                <c:pt idx="31">
                  <c:v>1270</c:v>
                </c:pt>
                <c:pt idx="32">
                  <c:v>450</c:v>
                </c:pt>
                <c:pt idx="33">
                  <c:v>120</c:v>
                </c:pt>
                <c:pt idx="39">
                  <c:v>101.455</c:v>
                </c:pt>
                <c:pt idx="40">
                  <c:v>101.44499999999999</c:v>
                </c:pt>
                <c:pt idx="42">
                  <c:v>1711.15</c:v>
                </c:pt>
                <c:pt idx="44">
                  <c:v>35.9</c:v>
                </c:pt>
                <c:pt idx="50">
                  <c:v>126.7</c:v>
                </c:pt>
                <c:pt idx="51">
                  <c:v>66.599999999999994</c:v>
                </c:pt>
                <c:pt idx="52">
                  <c:v>695</c:v>
                </c:pt>
                <c:pt idx="53">
                  <c:v>435</c:v>
                </c:pt>
                <c:pt idx="54">
                  <c:v>40.700000000000003</c:v>
                </c:pt>
                <c:pt idx="55">
                  <c:v>475</c:v>
                </c:pt>
                <c:pt idx="56">
                  <c:v>3524.28</c:v>
                </c:pt>
                <c:pt idx="60">
                  <c:v>26.03</c:v>
                </c:pt>
                <c:pt idx="61">
                  <c:v>67.5</c:v>
                </c:pt>
                <c:pt idx="62">
                  <c:v>267.75</c:v>
                </c:pt>
                <c:pt idx="66">
                  <c:v>40.19</c:v>
                </c:pt>
                <c:pt idx="69">
                  <c:v>332</c:v>
                </c:pt>
                <c:pt idx="71">
                  <c:v>109.05</c:v>
                </c:pt>
                <c:pt idx="72">
                  <c:v>670</c:v>
                </c:pt>
                <c:pt idx="74">
                  <c:v>1088.4000000000001</c:v>
                </c:pt>
                <c:pt idx="75">
                  <c:v>88.4833</c:v>
                </c:pt>
                <c:pt idx="76">
                  <c:v>168.434</c:v>
                </c:pt>
                <c:pt idx="78">
                  <c:v>568.29999999999995</c:v>
                </c:pt>
                <c:pt idx="79">
                  <c:v>112.8</c:v>
                </c:pt>
                <c:pt idx="80">
                  <c:v>272</c:v>
                </c:pt>
                <c:pt idx="81">
                  <c:v>551</c:v>
                </c:pt>
                <c:pt idx="82">
                  <c:v>125.80000000000001</c:v>
                </c:pt>
                <c:pt idx="83">
                  <c:v>528.35</c:v>
                </c:pt>
                <c:pt idx="84">
                  <c:v>285.2</c:v>
                </c:pt>
                <c:pt idx="87">
                  <c:v>12.7</c:v>
                </c:pt>
                <c:pt idx="90">
                  <c:v>24.02</c:v>
                </c:pt>
                <c:pt idx="97">
                  <c:v>60.66</c:v>
                </c:pt>
                <c:pt idx="98">
                  <c:v>41.3</c:v>
                </c:pt>
              </c:numCache>
            </c:numRef>
          </c:yVal>
          <c:smooth val="0"/>
          <c:extLst>
            <c:ext xmlns:c16="http://schemas.microsoft.com/office/drawing/2014/chart" uri="{C3380CC4-5D6E-409C-BE32-E72D297353CC}">
              <c16:uniqueId val="{00000001-4A55-A047-BCC1-63C88A460FA9}"/>
            </c:ext>
          </c:extLst>
        </c:ser>
        <c:dLbls>
          <c:showLegendKey val="0"/>
          <c:showVal val="0"/>
          <c:showCatName val="0"/>
          <c:showSerName val="0"/>
          <c:showPercent val="0"/>
          <c:showBubbleSize val="0"/>
        </c:dLbls>
        <c:axId val="1768235535"/>
        <c:axId val="1786623647"/>
      </c:scatterChart>
      <c:valAx>
        <c:axId val="1768235535"/>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MSMR</a:t>
                </a:r>
                <a:r>
                  <a:rPr lang="en-US" baseline="0"/>
                  <a:t> (W/g)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623647"/>
        <c:crosses val="autoZero"/>
        <c:crossBetween val="midCat"/>
      </c:valAx>
      <c:valAx>
        <c:axId val="1786623647"/>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Basal</a:t>
                </a:r>
                <a:r>
                  <a:rPr lang="en-US" baseline="0"/>
                  <a:t> Total FGM Concentration (ng/g)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2355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Basal</a:t>
            </a:r>
            <a:r>
              <a:rPr lang="en-US" baseline="0"/>
              <a:t> Cortisol Concentration vs MSMR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23796140684672837"/>
                  <c:y val="3.0996080231353022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600" baseline="0"/>
                      <a:t>y = 2859.9x</a:t>
                    </a:r>
                    <a:r>
                      <a:rPr lang="en-US" sz="1600" baseline="30000"/>
                      <a:t>0.4769</a:t>
                    </a:r>
                    <a:br>
                      <a:rPr lang="en-US" sz="1600" baseline="0"/>
                    </a:br>
                    <a:r>
                      <a:rPr lang="en-US" sz="1600" baseline="0"/>
                      <a:t>R² = 1E-07</a:t>
                    </a:r>
                    <a:endParaRPr lang="en-US" sz="16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Sheet'!$Y$3:$Y$102</c:f>
              <c:numCache>
                <c:formatCode>General</c:formatCode>
                <c:ptCount val="100"/>
                <c:pt idx="1">
                  <c:v>8.8400000000000002E-4</c:v>
                </c:pt>
                <c:pt idx="2">
                  <c:v>8.8400000000000002E-4</c:v>
                </c:pt>
                <c:pt idx="4">
                  <c:v>4.1840000000000002E-3</c:v>
                </c:pt>
                <c:pt idx="5">
                  <c:v>1.1709999999999999E-3</c:v>
                </c:pt>
                <c:pt idx="7">
                  <c:v>2.1559999999999999E-3</c:v>
                </c:pt>
                <c:pt idx="8">
                  <c:v>3.333E-3</c:v>
                </c:pt>
                <c:pt idx="13">
                  <c:v>2.8010000000000001E-3</c:v>
                </c:pt>
                <c:pt idx="14">
                  <c:v>6.3769999999999999E-3</c:v>
                </c:pt>
                <c:pt idx="15">
                  <c:v>1.1709999999999999E-3</c:v>
                </c:pt>
                <c:pt idx="16">
                  <c:v>1.562E-3</c:v>
                </c:pt>
                <c:pt idx="19">
                  <c:v>6.143E-3</c:v>
                </c:pt>
                <c:pt idx="20">
                  <c:v>1.433E-3</c:v>
                </c:pt>
                <c:pt idx="21">
                  <c:v>4.4999999999999997E-3</c:v>
                </c:pt>
                <c:pt idx="26">
                  <c:v>1.116E-3</c:v>
                </c:pt>
                <c:pt idx="31">
                  <c:v>1.116E-3</c:v>
                </c:pt>
                <c:pt idx="34">
                  <c:v>1.116E-3</c:v>
                </c:pt>
                <c:pt idx="39">
                  <c:v>9.7099999999999997E-4</c:v>
                </c:pt>
                <c:pt idx="40">
                  <c:v>9.7099999999999997E-4</c:v>
                </c:pt>
                <c:pt idx="41">
                  <c:v>1.01E-3</c:v>
                </c:pt>
                <c:pt idx="44">
                  <c:v>1.6180000000000001E-3</c:v>
                </c:pt>
                <c:pt idx="46">
                  <c:v>7.9799999999999992E-3</c:v>
                </c:pt>
                <c:pt idx="47">
                  <c:v>4.1840000000000002E-3</c:v>
                </c:pt>
                <c:pt idx="48">
                  <c:v>1.0683E-2</c:v>
                </c:pt>
                <c:pt idx="49">
                  <c:v>6.3599999999999996E-4</c:v>
                </c:pt>
                <c:pt idx="50">
                  <c:v>6.3599999999999996E-4</c:v>
                </c:pt>
                <c:pt idx="51">
                  <c:v>2.8010000000000001E-3</c:v>
                </c:pt>
                <c:pt idx="52">
                  <c:v>2.1289999999999998E-3</c:v>
                </c:pt>
                <c:pt idx="53">
                  <c:v>1.1709999999999999E-3</c:v>
                </c:pt>
                <c:pt idx="55">
                  <c:v>2.9979999999999998E-3</c:v>
                </c:pt>
                <c:pt idx="56">
                  <c:v>6.143E-3</c:v>
                </c:pt>
                <c:pt idx="58">
                  <c:v>1.678E-3</c:v>
                </c:pt>
                <c:pt idx="60">
                  <c:v>1.678E-3</c:v>
                </c:pt>
                <c:pt idx="61">
                  <c:v>1.9959999999999999E-3</c:v>
                </c:pt>
                <c:pt idx="62">
                  <c:v>3.7729999999999999E-3</c:v>
                </c:pt>
                <c:pt idx="65">
                  <c:v>2.9889999999999999E-3</c:v>
                </c:pt>
                <c:pt idx="67">
                  <c:v>1.238E-3</c:v>
                </c:pt>
                <c:pt idx="69">
                  <c:v>8.9999999999999998E-4</c:v>
                </c:pt>
                <c:pt idx="72">
                  <c:v>1.1709999999999999E-3</c:v>
                </c:pt>
                <c:pt idx="75">
                  <c:v>8.7399999999999999E-4</c:v>
                </c:pt>
                <c:pt idx="77">
                  <c:v>1.6069999999999999E-3</c:v>
                </c:pt>
                <c:pt idx="79">
                  <c:v>7.0299999999999996E-4</c:v>
                </c:pt>
                <c:pt idx="84">
                  <c:v>2.0339999999999998E-3</c:v>
                </c:pt>
                <c:pt idx="88">
                  <c:v>1.665E-3</c:v>
                </c:pt>
                <c:pt idx="89">
                  <c:v>2.5999999999999999E-3</c:v>
                </c:pt>
                <c:pt idx="90">
                  <c:v>1.4E-3</c:v>
                </c:pt>
                <c:pt idx="94">
                  <c:v>2.0079999999999998E-3</c:v>
                </c:pt>
                <c:pt idx="95">
                  <c:v>4.7999999999999996E-3</c:v>
                </c:pt>
                <c:pt idx="97">
                  <c:v>1.408E-3</c:v>
                </c:pt>
                <c:pt idx="98">
                  <c:v>1.408E-3</c:v>
                </c:pt>
              </c:numCache>
            </c:numRef>
          </c:xVal>
          <c:yVal>
            <c:numRef>
              <c:f>'Old Data Sheet'!$C$3:$C$102</c:f>
              <c:numCache>
                <c:formatCode>General</c:formatCode>
                <c:ptCount val="100"/>
                <c:pt idx="1">
                  <c:v>20.6</c:v>
                </c:pt>
                <c:pt idx="4">
                  <c:v>1054</c:v>
                </c:pt>
                <c:pt idx="7">
                  <c:v>60.92</c:v>
                </c:pt>
                <c:pt idx="8">
                  <c:v>349.23</c:v>
                </c:pt>
                <c:pt idx="9">
                  <c:v>7860</c:v>
                </c:pt>
                <c:pt idx="10">
                  <c:v>35.5</c:v>
                </c:pt>
                <c:pt idx="11">
                  <c:v>420</c:v>
                </c:pt>
                <c:pt idx="20">
                  <c:v>2625</c:v>
                </c:pt>
                <c:pt idx="34">
                  <c:v>21</c:v>
                </c:pt>
                <c:pt idx="41">
                  <c:v>642.1</c:v>
                </c:pt>
                <c:pt idx="43">
                  <c:v>9.66</c:v>
                </c:pt>
                <c:pt idx="49">
                  <c:v>49.643599999999999</c:v>
                </c:pt>
                <c:pt idx="57">
                  <c:v>263.02999999999997</c:v>
                </c:pt>
                <c:pt idx="58">
                  <c:v>0.72850000000000004</c:v>
                </c:pt>
                <c:pt idx="59">
                  <c:v>51.505000000000003</c:v>
                </c:pt>
                <c:pt idx="64">
                  <c:v>45.029000000000003</c:v>
                </c:pt>
                <c:pt idx="65">
                  <c:v>25.683</c:v>
                </c:pt>
                <c:pt idx="67">
                  <c:v>307.8</c:v>
                </c:pt>
                <c:pt idx="68">
                  <c:v>43.75</c:v>
                </c:pt>
                <c:pt idx="70">
                  <c:v>4.375</c:v>
                </c:pt>
                <c:pt idx="71">
                  <c:v>6.3</c:v>
                </c:pt>
                <c:pt idx="72">
                  <c:v>30</c:v>
                </c:pt>
                <c:pt idx="73">
                  <c:v>20</c:v>
                </c:pt>
                <c:pt idx="74">
                  <c:v>58.4</c:v>
                </c:pt>
                <c:pt idx="75">
                  <c:v>23.725000000000001</c:v>
                </c:pt>
                <c:pt idx="76">
                  <c:v>64.122</c:v>
                </c:pt>
                <c:pt idx="77">
                  <c:v>618.5</c:v>
                </c:pt>
                <c:pt idx="78">
                  <c:v>213.6</c:v>
                </c:pt>
                <c:pt idx="79">
                  <c:v>48.7</c:v>
                </c:pt>
                <c:pt idx="80">
                  <c:v>170.1</c:v>
                </c:pt>
                <c:pt idx="81">
                  <c:v>248.8</c:v>
                </c:pt>
                <c:pt idx="82">
                  <c:v>80.7</c:v>
                </c:pt>
                <c:pt idx="83">
                  <c:v>312.55</c:v>
                </c:pt>
                <c:pt idx="84">
                  <c:v>110.2</c:v>
                </c:pt>
                <c:pt idx="85">
                  <c:v>47.548299999999998</c:v>
                </c:pt>
                <c:pt idx="86">
                  <c:v>114.66</c:v>
                </c:pt>
                <c:pt idx="87">
                  <c:v>4.0999999999999996</c:v>
                </c:pt>
                <c:pt idx="88">
                  <c:v>63.3</c:v>
                </c:pt>
                <c:pt idx="89">
                  <c:v>3.2</c:v>
                </c:pt>
                <c:pt idx="92">
                  <c:v>97.421999999999997</c:v>
                </c:pt>
                <c:pt idx="93">
                  <c:v>45.469000000000001</c:v>
                </c:pt>
                <c:pt idx="95">
                  <c:v>138.59800000000001</c:v>
                </c:pt>
                <c:pt idx="96">
                  <c:v>83.043000000000006</c:v>
                </c:pt>
                <c:pt idx="99">
                  <c:v>19.042999999999999</c:v>
                </c:pt>
              </c:numCache>
            </c:numRef>
          </c:yVal>
          <c:smooth val="0"/>
          <c:extLst>
            <c:ext xmlns:c16="http://schemas.microsoft.com/office/drawing/2014/chart" uri="{C3380CC4-5D6E-409C-BE32-E72D297353CC}">
              <c16:uniqueId val="{00000001-AF54-F44C-8E5A-459CEACC2432}"/>
            </c:ext>
          </c:extLst>
        </c:ser>
        <c:dLbls>
          <c:showLegendKey val="0"/>
          <c:showVal val="0"/>
          <c:showCatName val="0"/>
          <c:showSerName val="0"/>
          <c:showPercent val="0"/>
          <c:showBubbleSize val="0"/>
        </c:dLbls>
        <c:axId val="1782822479"/>
        <c:axId val="1865826959"/>
      </c:scatterChart>
      <c:valAx>
        <c:axId val="1782822479"/>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MSMR</a:t>
                </a:r>
                <a:r>
                  <a:rPr lang="en-US" baseline="0"/>
                  <a:t> (W/g)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826959"/>
        <c:crosses val="autoZero"/>
        <c:crossBetween val="midCat"/>
      </c:valAx>
      <c:valAx>
        <c:axId val="1865826959"/>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Basal</a:t>
                </a:r>
                <a:r>
                  <a:rPr lang="en-US" baseline="0"/>
                  <a:t> Cortisol Concentrations (ng/g)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8224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Basal Corticosterone Concentration vs. MSMR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'Old Data Sheet'!$Y$1</c:f>
              <c:strCache>
                <c:ptCount val="1"/>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2938729471955876"/>
                  <c:y val="9.7584609532492969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600" baseline="0"/>
                      <a:t>y = 5E+06x</a:t>
                    </a:r>
                    <a:r>
                      <a:rPr lang="en-US" sz="1600" baseline="30000"/>
                      <a:t>1.6124</a:t>
                    </a:r>
                    <a:br>
                      <a:rPr lang="en-US" sz="1600" baseline="0"/>
                    </a:br>
                    <a:r>
                      <a:rPr lang="en-US" sz="1600" baseline="0"/>
                      <a:t>R² = 0.5202</a:t>
                    </a:r>
                    <a:endParaRPr lang="en-US" sz="16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Sheet'!$Y$3:$Y$102</c:f>
              <c:numCache>
                <c:formatCode>General</c:formatCode>
                <c:ptCount val="100"/>
                <c:pt idx="1">
                  <c:v>8.8400000000000002E-4</c:v>
                </c:pt>
                <c:pt idx="2">
                  <c:v>8.8400000000000002E-4</c:v>
                </c:pt>
                <c:pt idx="4">
                  <c:v>4.1840000000000002E-3</c:v>
                </c:pt>
                <c:pt idx="5">
                  <c:v>1.1709999999999999E-3</c:v>
                </c:pt>
                <c:pt idx="7">
                  <c:v>2.1559999999999999E-3</c:v>
                </c:pt>
                <c:pt idx="8">
                  <c:v>3.333E-3</c:v>
                </c:pt>
                <c:pt idx="13">
                  <c:v>2.8010000000000001E-3</c:v>
                </c:pt>
                <c:pt idx="14">
                  <c:v>6.3769999999999999E-3</c:v>
                </c:pt>
                <c:pt idx="15">
                  <c:v>1.1709999999999999E-3</c:v>
                </c:pt>
                <c:pt idx="16">
                  <c:v>1.562E-3</c:v>
                </c:pt>
                <c:pt idx="19">
                  <c:v>6.143E-3</c:v>
                </c:pt>
                <c:pt idx="20">
                  <c:v>1.433E-3</c:v>
                </c:pt>
                <c:pt idx="21">
                  <c:v>4.4999999999999997E-3</c:v>
                </c:pt>
                <c:pt idx="26">
                  <c:v>1.116E-3</c:v>
                </c:pt>
                <c:pt idx="31">
                  <c:v>1.116E-3</c:v>
                </c:pt>
                <c:pt idx="34">
                  <c:v>1.116E-3</c:v>
                </c:pt>
                <c:pt idx="39">
                  <c:v>9.7099999999999997E-4</c:v>
                </c:pt>
                <c:pt idx="40">
                  <c:v>9.7099999999999997E-4</c:v>
                </c:pt>
                <c:pt idx="41">
                  <c:v>1.01E-3</c:v>
                </c:pt>
                <c:pt idx="44">
                  <c:v>1.6180000000000001E-3</c:v>
                </c:pt>
                <c:pt idx="46">
                  <c:v>7.9799999999999992E-3</c:v>
                </c:pt>
                <c:pt idx="47">
                  <c:v>4.1840000000000002E-3</c:v>
                </c:pt>
                <c:pt idx="48">
                  <c:v>1.0683E-2</c:v>
                </c:pt>
                <c:pt idx="49">
                  <c:v>6.3599999999999996E-4</c:v>
                </c:pt>
                <c:pt idx="50">
                  <c:v>6.3599999999999996E-4</c:v>
                </c:pt>
                <c:pt idx="51">
                  <c:v>2.8010000000000001E-3</c:v>
                </c:pt>
                <c:pt idx="52">
                  <c:v>2.1289999999999998E-3</c:v>
                </c:pt>
                <c:pt idx="53">
                  <c:v>1.1709999999999999E-3</c:v>
                </c:pt>
                <c:pt idx="55">
                  <c:v>2.9979999999999998E-3</c:v>
                </c:pt>
                <c:pt idx="56">
                  <c:v>6.143E-3</c:v>
                </c:pt>
                <c:pt idx="58">
                  <c:v>1.678E-3</c:v>
                </c:pt>
                <c:pt idx="60">
                  <c:v>1.678E-3</c:v>
                </c:pt>
                <c:pt idx="61">
                  <c:v>1.9959999999999999E-3</c:v>
                </c:pt>
                <c:pt idx="62">
                  <c:v>3.7729999999999999E-3</c:v>
                </c:pt>
                <c:pt idx="65">
                  <c:v>2.9889999999999999E-3</c:v>
                </c:pt>
                <c:pt idx="67">
                  <c:v>1.238E-3</c:v>
                </c:pt>
                <c:pt idx="69">
                  <c:v>8.9999999999999998E-4</c:v>
                </c:pt>
                <c:pt idx="72">
                  <c:v>1.1709999999999999E-3</c:v>
                </c:pt>
                <c:pt idx="75">
                  <c:v>8.7399999999999999E-4</c:v>
                </c:pt>
                <c:pt idx="77">
                  <c:v>1.6069999999999999E-3</c:v>
                </c:pt>
                <c:pt idx="79">
                  <c:v>7.0299999999999996E-4</c:v>
                </c:pt>
                <c:pt idx="84">
                  <c:v>2.0339999999999998E-3</c:v>
                </c:pt>
                <c:pt idx="88">
                  <c:v>1.665E-3</c:v>
                </c:pt>
                <c:pt idx="89">
                  <c:v>2.5999999999999999E-3</c:v>
                </c:pt>
                <c:pt idx="90">
                  <c:v>1.4E-3</c:v>
                </c:pt>
                <c:pt idx="94">
                  <c:v>2.0079999999999998E-3</c:v>
                </c:pt>
                <c:pt idx="95">
                  <c:v>4.7999999999999996E-3</c:v>
                </c:pt>
                <c:pt idx="97">
                  <c:v>1.408E-3</c:v>
                </c:pt>
                <c:pt idx="98">
                  <c:v>1.408E-3</c:v>
                </c:pt>
              </c:numCache>
            </c:numRef>
          </c:xVal>
          <c:yVal>
            <c:numRef>
              <c:f>'Old Data Sheet'!$D$3:$D$102</c:f>
              <c:numCache>
                <c:formatCode>General</c:formatCode>
                <c:ptCount val="100"/>
                <c:pt idx="35">
                  <c:v>1240</c:v>
                </c:pt>
                <c:pt idx="36">
                  <c:v>25</c:v>
                </c:pt>
                <c:pt idx="37">
                  <c:v>60</c:v>
                </c:pt>
                <c:pt idx="38">
                  <c:v>90</c:v>
                </c:pt>
                <c:pt idx="45">
                  <c:v>1743.1</c:v>
                </c:pt>
                <c:pt idx="46">
                  <c:v>2842.33</c:v>
                </c:pt>
                <c:pt idx="47">
                  <c:v>1711.28</c:v>
                </c:pt>
                <c:pt idx="48">
                  <c:v>1436.55</c:v>
                </c:pt>
                <c:pt idx="58">
                  <c:v>5.1319999999999997</c:v>
                </c:pt>
                <c:pt idx="71">
                  <c:v>102.75</c:v>
                </c:pt>
                <c:pt idx="72">
                  <c:v>640</c:v>
                </c:pt>
                <c:pt idx="74">
                  <c:v>1030</c:v>
                </c:pt>
                <c:pt idx="75">
                  <c:v>64.758300000000006</c:v>
                </c:pt>
                <c:pt idx="76">
                  <c:v>104.312</c:v>
                </c:pt>
                <c:pt idx="77">
                  <c:v>232.9</c:v>
                </c:pt>
                <c:pt idx="78">
                  <c:v>354.7</c:v>
                </c:pt>
                <c:pt idx="79">
                  <c:v>64.099999999999994</c:v>
                </c:pt>
                <c:pt idx="80">
                  <c:v>101.9</c:v>
                </c:pt>
                <c:pt idx="81">
                  <c:v>302.2</c:v>
                </c:pt>
                <c:pt idx="82">
                  <c:v>45.1</c:v>
                </c:pt>
                <c:pt idx="83">
                  <c:v>215.8</c:v>
                </c:pt>
                <c:pt idx="84">
                  <c:v>175</c:v>
                </c:pt>
                <c:pt idx="87">
                  <c:v>8.6</c:v>
                </c:pt>
                <c:pt idx="91">
                  <c:v>16.2</c:v>
                </c:pt>
                <c:pt idx="94">
                  <c:v>132</c:v>
                </c:pt>
              </c:numCache>
            </c:numRef>
          </c:yVal>
          <c:smooth val="0"/>
          <c:extLst>
            <c:ext xmlns:c16="http://schemas.microsoft.com/office/drawing/2014/chart" uri="{C3380CC4-5D6E-409C-BE32-E72D297353CC}">
              <c16:uniqueId val="{00000001-E93A-844D-A429-5D5BFE2732A4}"/>
            </c:ext>
          </c:extLst>
        </c:ser>
        <c:dLbls>
          <c:showLegendKey val="0"/>
          <c:showVal val="0"/>
          <c:showCatName val="0"/>
          <c:showSerName val="0"/>
          <c:showPercent val="0"/>
          <c:showBubbleSize val="0"/>
        </c:dLbls>
        <c:axId val="272412095"/>
        <c:axId val="272455871"/>
      </c:scatterChart>
      <c:valAx>
        <c:axId val="272412095"/>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MSMR</a:t>
                </a:r>
                <a:r>
                  <a:rPr lang="en-US" baseline="0"/>
                  <a:t> (W/g)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455871"/>
        <c:crosses val="autoZero"/>
        <c:crossBetween val="midCat"/>
      </c:valAx>
      <c:valAx>
        <c:axId val="272455871"/>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Basal</a:t>
                </a:r>
                <a:r>
                  <a:rPr lang="en-US" baseline="0"/>
                  <a:t> Corticosterone Concentration (ng/g)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4120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Maximum</a:t>
            </a:r>
            <a:r>
              <a:rPr lang="en-US" baseline="0"/>
              <a:t> Lifespan vs. Basal Total FGM Concentrations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'Old Data Sheet'!$W$1</c:f>
              <c:strCache>
                <c:ptCount val="1"/>
                <c:pt idx="0">
                  <c:v>AnAge Data</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4.9387427649506384E-2"/>
                  <c:y val="0.22662023556094529"/>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600" baseline="0"/>
                      <a:t>y = 57.939x</a:t>
                    </a:r>
                    <a:r>
                      <a:rPr lang="en-US" sz="1600" baseline="30000"/>
                      <a:t>-0.168</a:t>
                    </a:r>
                    <a:br>
                      <a:rPr lang="en-US" sz="1600" baseline="0"/>
                    </a:br>
                    <a:r>
                      <a:rPr lang="en-US" sz="1600" baseline="0"/>
                      <a:t>R² = 0.1944</a:t>
                    </a:r>
                    <a:endParaRPr lang="en-US" sz="16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'Old Data Sheet'!$H$3:$H$102</c:f>
              <c:strCache>
                <c:ptCount val="99"/>
                <c:pt idx="0">
                  <c:v>   </c:v>
                </c:pt>
                <c:pt idx="2">
                  <c:v>96.4</c:v>
                </c:pt>
                <c:pt idx="3">
                  <c:v>124</c:v>
                </c:pt>
                <c:pt idx="5">
                  <c:v>530</c:v>
                </c:pt>
                <c:pt idx="6">
                  <c:v>43.5</c:v>
                </c:pt>
                <c:pt idx="12">
                  <c:v>316</c:v>
                </c:pt>
                <c:pt idx="13">
                  <c:v>54.6</c:v>
                </c:pt>
                <c:pt idx="14">
                  <c:v>204.55</c:v>
                </c:pt>
                <c:pt idx="15">
                  <c:v>1050</c:v>
                </c:pt>
                <c:pt idx="16">
                  <c:v>84.5</c:v>
                </c:pt>
                <c:pt idx="17">
                  <c:v>181.5</c:v>
                </c:pt>
                <c:pt idx="18">
                  <c:v>130.333</c:v>
                </c:pt>
                <c:pt idx="19">
                  <c:v>1077.33</c:v>
                </c:pt>
                <c:pt idx="21">
                  <c:v>46.315</c:v>
                </c:pt>
                <c:pt idx="22">
                  <c:v>147.15</c:v>
                </c:pt>
                <c:pt idx="23">
                  <c:v>27</c:v>
                </c:pt>
                <c:pt idx="24">
                  <c:v>165</c:v>
                </c:pt>
                <c:pt idx="25">
                  <c:v>3125</c:v>
                </c:pt>
                <c:pt idx="26">
                  <c:v>917.5</c:v>
                </c:pt>
                <c:pt idx="27">
                  <c:v>620</c:v>
                </c:pt>
                <c:pt idx="28">
                  <c:v>200</c:v>
                </c:pt>
                <c:pt idx="29">
                  <c:v>935</c:v>
                </c:pt>
                <c:pt idx="30">
                  <c:v>1120</c:v>
                </c:pt>
                <c:pt idx="31">
                  <c:v>1270</c:v>
                </c:pt>
                <c:pt idx="32">
                  <c:v>450</c:v>
                </c:pt>
                <c:pt idx="33">
                  <c:v>120</c:v>
                </c:pt>
                <c:pt idx="39">
                  <c:v>101.455</c:v>
                </c:pt>
                <c:pt idx="40">
                  <c:v>101.445</c:v>
                </c:pt>
                <c:pt idx="42">
                  <c:v>1711.15</c:v>
                </c:pt>
                <c:pt idx="44">
                  <c:v>35.9</c:v>
                </c:pt>
                <c:pt idx="50">
                  <c:v>126.7</c:v>
                </c:pt>
                <c:pt idx="51">
                  <c:v>66.6</c:v>
                </c:pt>
                <c:pt idx="52">
                  <c:v>695</c:v>
                </c:pt>
                <c:pt idx="53">
                  <c:v>435</c:v>
                </c:pt>
                <c:pt idx="54">
                  <c:v>40.7</c:v>
                </c:pt>
                <c:pt idx="55">
                  <c:v>475</c:v>
                </c:pt>
                <c:pt idx="56">
                  <c:v>3524.28</c:v>
                </c:pt>
                <c:pt idx="60">
                  <c:v>26.03</c:v>
                </c:pt>
                <c:pt idx="61">
                  <c:v>67.5</c:v>
                </c:pt>
                <c:pt idx="62">
                  <c:v>267.75</c:v>
                </c:pt>
                <c:pt idx="66">
                  <c:v>40.19</c:v>
                </c:pt>
                <c:pt idx="69">
                  <c:v>332</c:v>
                </c:pt>
                <c:pt idx="71">
                  <c:v>109.05</c:v>
                </c:pt>
                <c:pt idx="72">
                  <c:v>670</c:v>
                </c:pt>
                <c:pt idx="74">
                  <c:v>1088.4</c:v>
                </c:pt>
                <c:pt idx="75">
                  <c:v>88.4833</c:v>
                </c:pt>
                <c:pt idx="76">
                  <c:v>168.434</c:v>
                </c:pt>
                <c:pt idx="78">
                  <c:v>568.3</c:v>
                </c:pt>
                <c:pt idx="79">
                  <c:v>112.8</c:v>
                </c:pt>
                <c:pt idx="80">
                  <c:v>272</c:v>
                </c:pt>
                <c:pt idx="81">
                  <c:v>551</c:v>
                </c:pt>
                <c:pt idx="82">
                  <c:v>125.8</c:v>
                </c:pt>
                <c:pt idx="83">
                  <c:v>528.35</c:v>
                </c:pt>
                <c:pt idx="84">
                  <c:v>285.2</c:v>
                </c:pt>
                <c:pt idx="87">
                  <c:v>12.7</c:v>
                </c:pt>
                <c:pt idx="90">
                  <c:v>24.02</c:v>
                </c:pt>
                <c:pt idx="97">
                  <c:v>60.66</c:v>
                </c:pt>
                <c:pt idx="98">
                  <c:v>41.3</c:v>
                </c:pt>
              </c:strCache>
            </c:strRef>
          </c:xVal>
          <c:yVal>
            <c:numRef>
              <c:f>'Old Data Sheet'!$W$3:$W$102</c:f>
              <c:numCache>
                <c:formatCode>General</c:formatCode>
                <c:ptCount val="100"/>
                <c:pt idx="1">
                  <c:v>20</c:v>
                </c:pt>
                <c:pt idx="2">
                  <c:v>20</c:v>
                </c:pt>
                <c:pt idx="3">
                  <c:v>20.8</c:v>
                </c:pt>
                <c:pt idx="5">
                  <c:v>24.3</c:v>
                </c:pt>
                <c:pt idx="6">
                  <c:v>42.3</c:v>
                </c:pt>
                <c:pt idx="7">
                  <c:v>17.5</c:v>
                </c:pt>
                <c:pt idx="8">
                  <c:v>12</c:v>
                </c:pt>
                <c:pt idx="9">
                  <c:v>46</c:v>
                </c:pt>
                <c:pt idx="10">
                  <c:v>38</c:v>
                </c:pt>
                <c:pt idx="11">
                  <c:v>18.2</c:v>
                </c:pt>
                <c:pt idx="12">
                  <c:v>20.8</c:v>
                </c:pt>
                <c:pt idx="13">
                  <c:v>18</c:v>
                </c:pt>
                <c:pt idx="14">
                  <c:v>3.9</c:v>
                </c:pt>
                <c:pt idx="15">
                  <c:v>24.3</c:v>
                </c:pt>
                <c:pt idx="16">
                  <c:v>12.7</c:v>
                </c:pt>
                <c:pt idx="17">
                  <c:v>14.8</c:v>
                </c:pt>
                <c:pt idx="18">
                  <c:v>13.7</c:v>
                </c:pt>
                <c:pt idx="19">
                  <c:v>5.9</c:v>
                </c:pt>
                <c:pt idx="20">
                  <c:v>19</c:v>
                </c:pt>
                <c:pt idx="22">
                  <c:v>42.3</c:v>
                </c:pt>
                <c:pt idx="23">
                  <c:v>42.3</c:v>
                </c:pt>
                <c:pt idx="24">
                  <c:v>46</c:v>
                </c:pt>
                <c:pt idx="25">
                  <c:v>38</c:v>
                </c:pt>
                <c:pt idx="26">
                  <c:v>31</c:v>
                </c:pt>
                <c:pt idx="27">
                  <c:v>60.1</c:v>
                </c:pt>
                <c:pt idx="28">
                  <c:v>18.2</c:v>
                </c:pt>
                <c:pt idx="29">
                  <c:v>46</c:v>
                </c:pt>
                <c:pt idx="30">
                  <c:v>38</c:v>
                </c:pt>
                <c:pt idx="31">
                  <c:v>31</c:v>
                </c:pt>
                <c:pt idx="32">
                  <c:v>60.1</c:v>
                </c:pt>
                <c:pt idx="33">
                  <c:v>18.2</c:v>
                </c:pt>
                <c:pt idx="34">
                  <c:v>31</c:v>
                </c:pt>
                <c:pt idx="35">
                  <c:v>46</c:v>
                </c:pt>
                <c:pt idx="36">
                  <c:v>38</c:v>
                </c:pt>
                <c:pt idx="37">
                  <c:v>60.1</c:v>
                </c:pt>
                <c:pt idx="38">
                  <c:v>18.2</c:v>
                </c:pt>
                <c:pt idx="39">
                  <c:v>26.3</c:v>
                </c:pt>
                <c:pt idx="40">
                  <c:v>26.3</c:v>
                </c:pt>
                <c:pt idx="41">
                  <c:v>36.799999999999997</c:v>
                </c:pt>
                <c:pt idx="42">
                  <c:v>17.2</c:v>
                </c:pt>
                <c:pt idx="43">
                  <c:v>43.5</c:v>
                </c:pt>
                <c:pt idx="44">
                  <c:v>31.5</c:v>
                </c:pt>
                <c:pt idx="46">
                  <c:v>5.9</c:v>
                </c:pt>
                <c:pt idx="47">
                  <c:v>8.1999999999999993</c:v>
                </c:pt>
                <c:pt idx="48">
                  <c:v>8.3000000000000007</c:v>
                </c:pt>
                <c:pt idx="49">
                  <c:v>79.599999999999994</c:v>
                </c:pt>
                <c:pt idx="50">
                  <c:v>79.599999999999994</c:v>
                </c:pt>
                <c:pt idx="51">
                  <c:v>18</c:v>
                </c:pt>
                <c:pt idx="52">
                  <c:v>16.3</c:v>
                </c:pt>
                <c:pt idx="53">
                  <c:v>24.3</c:v>
                </c:pt>
                <c:pt idx="54">
                  <c:v>42.3</c:v>
                </c:pt>
                <c:pt idx="55">
                  <c:v>21.3</c:v>
                </c:pt>
                <c:pt idx="56">
                  <c:v>5.9</c:v>
                </c:pt>
                <c:pt idx="58">
                  <c:v>31.5</c:v>
                </c:pt>
                <c:pt idx="59">
                  <c:v>28.4</c:v>
                </c:pt>
                <c:pt idx="60">
                  <c:v>31.5</c:v>
                </c:pt>
                <c:pt idx="61">
                  <c:v>23</c:v>
                </c:pt>
                <c:pt idx="62">
                  <c:v>17</c:v>
                </c:pt>
                <c:pt idx="64">
                  <c:v>57</c:v>
                </c:pt>
                <c:pt idx="65">
                  <c:v>20</c:v>
                </c:pt>
                <c:pt idx="66">
                  <c:v>32.799999999999997</c:v>
                </c:pt>
                <c:pt idx="67">
                  <c:v>28</c:v>
                </c:pt>
                <c:pt idx="68">
                  <c:v>41.1</c:v>
                </c:pt>
                <c:pt idx="69">
                  <c:v>65</c:v>
                </c:pt>
                <c:pt idx="71">
                  <c:v>42.3</c:v>
                </c:pt>
                <c:pt idx="72">
                  <c:v>24.3</c:v>
                </c:pt>
                <c:pt idx="73">
                  <c:v>60.1</c:v>
                </c:pt>
                <c:pt idx="74">
                  <c:v>17.399999999999999</c:v>
                </c:pt>
                <c:pt idx="75">
                  <c:v>39.5</c:v>
                </c:pt>
                <c:pt idx="76">
                  <c:v>27.4</c:v>
                </c:pt>
                <c:pt idx="77">
                  <c:v>20.5</c:v>
                </c:pt>
                <c:pt idx="78">
                  <c:v>30</c:v>
                </c:pt>
                <c:pt idx="79">
                  <c:v>33.299999999999997</c:v>
                </c:pt>
                <c:pt idx="80">
                  <c:v>9.4</c:v>
                </c:pt>
                <c:pt idx="81">
                  <c:v>19.8</c:v>
                </c:pt>
                <c:pt idx="82">
                  <c:v>39.200000000000003</c:v>
                </c:pt>
                <c:pt idx="84">
                  <c:v>20.6</c:v>
                </c:pt>
                <c:pt idx="85" formatCode="#,##0">
                  <c:v>20</c:v>
                </c:pt>
                <c:pt idx="86">
                  <c:v>36.799999999999997</c:v>
                </c:pt>
                <c:pt idx="87">
                  <c:v>45</c:v>
                </c:pt>
                <c:pt idx="88">
                  <c:v>37.5</c:v>
                </c:pt>
                <c:pt idx="89">
                  <c:v>68</c:v>
                </c:pt>
                <c:pt idx="90">
                  <c:v>57</c:v>
                </c:pt>
                <c:pt idx="91">
                  <c:v>31</c:v>
                </c:pt>
                <c:pt idx="92">
                  <c:v>35.9</c:v>
                </c:pt>
                <c:pt idx="93">
                  <c:v>17.3</c:v>
                </c:pt>
                <c:pt idx="94">
                  <c:v>21.2</c:v>
                </c:pt>
                <c:pt idx="95">
                  <c:v>14</c:v>
                </c:pt>
                <c:pt idx="96">
                  <c:v>27.5</c:v>
                </c:pt>
                <c:pt idx="97">
                  <c:v>21.8</c:v>
                </c:pt>
                <c:pt idx="98">
                  <c:v>21.8</c:v>
                </c:pt>
                <c:pt idx="99">
                  <c:v>40</c:v>
                </c:pt>
              </c:numCache>
            </c:numRef>
          </c:yVal>
          <c:smooth val="0"/>
          <c:extLst>
            <c:ext xmlns:c16="http://schemas.microsoft.com/office/drawing/2014/chart" uri="{C3380CC4-5D6E-409C-BE32-E72D297353CC}">
              <c16:uniqueId val="{00000001-041C-4E41-9E27-0A4D0177D47C}"/>
            </c:ext>
          </c:extLst>
        </c:ser>
        <c:dLbls>
          <c:showLegendKey val="0"/>
          <c:showVal val="0"/>
          <c:showCatName val="0"/>
          <c:showSerName val="0"/>
          <c:showPercent val="0"/>
          <c:showBubbleSize val="0"/>
        </c:dLbls>
        <c:axId val="1134446304"/>
        <c:axId val="1178299488"/>
      </c:scatterChart>
      <c:valAx>
        <c:axId val="1134446304"/>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Basal</a:t>
                </a:r>
                <a:r>
                  <a:rPr lang="en-US" baseline="0"/>
                  <a:t> Total FGM Concentration (ng/g)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299488"/>
        <c:crosses val="autoZero"/>
        <c:crossBetween val="midCat"/>
      </c:valAx>
      <c:valAx>
        <c:axId val="1178299488"/>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Maximum</a:t>
                </a:r>
                <a:r>
                  <a:rPr lang="en-US" baseline="0"/>
                  <a:t> Lifespan (yrs)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4463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Maximum Lifespan vs.</a:t>
            </a:r>
            <a:r>
              <a:rPr lang="en-US" baseline="0"/>
              <a:t> Basal Cortisol Concentration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'Old Data Sheet'!$W$1:$W$2</c:f>
              <c:strCache>
                <c:ptCount val="2"/>
                <c:pt idx="0">
                  <c:v>AnAge Data</c:v>
                </c:pt>
                <c:pt idx="1">
                  <c:v>Max Lifespan (yr)</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5.8409860151309112E-2"/>
                  <c:y val="0.16114864242898375"/>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600" baseline="0"/>
                      <a:t>y = 50.742x</a:t>
                    </a:r>
                    <a:r>
                      <a:rPr lang="en-US" sz="1600" baseline="30000"/>
                      <a:t>-0.133</a:t>
                    </a:r>
                    <a:br>
                      <a:rPr lang="en-US" sz="1600" baseline="0"/>
                    </a:br>
                    <a:r>
                      <a:rPr lang="en-US" sz="1600" baseline="0"/>
                      <a:t>R² = 0.1883</a:t>
                    </a:r>
                    <a:endParaRPr lang="en-US" sz="16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Sheet'!$C$3:$C$102</c:f>
              <c:numCache>
                <c:formatCode>General</c:formatCode>
                <c:ptCount val="100"/>
                <c:pt idx="1">
                  <c:v>20.6</c:v>
                </c:pt>
                <c:pt idx="4">
                  <c:v>1054</c:v>
                </c:pt>
                <c:pt idx="7">
                  <c:v>60.92</c:v>
                </c:pt>
                <c:pt idx="8">
                  <c:v>349.23</c:v>
                </c:pt>
                <c:pt idx="9">
                  <c:v>7860</c:v>
                </c:pt>
                <c:pt idx="10">
                  <c:v>35.5</c:v>
                </c:pt>
                <c:pt idx="11">
                  <c:v>420</c:v>
                </c:pt>
                <c:pt idx="20">
                  <c:v>2625</c:v>
                </c:pt>
                <c:pt idx="34">
                  <c:v>21</c:v>
                </c:pt>
                <c:pt idx="41">
                  <c:v>642.1</c:v>
                </c:pt>
                <c:pt idx="43">
                  <c:v>9.66</c:v>
                </c:pt>
                <c:pt idx="49">
                  <c:v>49.643599999999999</c:v>
                </c:pt>
                <c:pt idx="57">
                  <c:v>263.02999999999997</c:v>
                </c:pt>
                <c:pt idx="58">
                  <c:v>0.72850000000000004</c:v>
                </c:pt>
                <c:pt idx="59">
                  <c:v>51.505000000000003</c:v>
                </c:pt>
                <c:pt idx="64">
                  <c:v>45.029000000000003</c:v>
                </c:pt>
                <c:pt idx="65">
                  <c:v>25.683</c:v>
                </c:pt>
                <c:pt idx="67">
                  <c:v>307.8</c:v>
                </c:pt>
                <c:pt idx="68">
                  <c:v>43.75</c:v>
                </c:pt>
                <c:pt idx="70">
                  <c:v>4.375</c:v>
                </c:pt>
                <c:pt idx="71">
                  <c:v>6.3</c:v>
                </c:pt>
                <c:pt idx="72">
                  <c:v>30</c:v>
                </c:pt>
                <c:pt idx="73">
                  <c:v>20</c:v>
                </c:pt>
                <c:pt idx="74">
                  <c:v>58.4</c:v>
                </c:pt>
                <c:pt idx="75">
                  <c:v>23.725000000000001</c:v>
                </c:pt>
                <c:pt idx="76">
                  <c:v>64.122</c:v>
                </c:pt>
                <c:pt idx="77">
                  <c:v>618.5</c:v>
                </c:pt>
                <c:pt idx="78">
                  <c:v>213.6</c:v>
                </c:pt>
                <c:pt idx="79">
                  <c:v>48.7</c:v>
                </c:pt>
                <c:pt idx="80">
                  <c:v>170.1</c:v>
                </c:pt>
                <c:pt idx="81">
                  <c:v>248.8</c:v>
                </c:pt>
                <c:pt idx="82">
                  <c:v>80.7</c:v>
                </c:pt>
                <c:pt idx="83">
                  <c:v>312.55</c:v>
                </c:pt>
                <c:pt idx="84">
                  <c:v>110.2</c:v>
                </c:pt>
                <c:pt idx="85">
                  <c:v>47.548299999999998</c:v>
                </c:pt>
                <c:pt idx="86">
                  <c:v>114.66</c:v>
                </c:pt>
                <c:pt idx="87">
                  <c:v>4.0999999999999996</c:v>
                </c:pt>
                <c:pt idx="88">
                  <c:v>63.3</c:v>
                </c:pt>
                <c:pt idx="89">
                  <c:v>3.2</c:v>
                </c:pt>
                <c:pt idx="92">
                  <c:v>97.421999999999997</c:v>
                </c:pt>
                <c:pt idx="93">
                  <c:v>45.469000000000001</c:v>
                </c:pt>
                <c:pt idx="95">
                  <c:v>138.59800000000001</c:v>
                </c:pt>
                <c:pt idx="96">
                  <c:v>83.043000000000006</c:v>
                </c:pt>
                <c:pt idx="99">
                  <c:v>19.042999999999999</c:v>
                </c:pt>
              </c:numCache>
            </c:numRef>
          </c:xVal>
          <c:yVal>
            <c:numRef>
              <c:f>'Old Data Sheet'!$W$3:$W$102</c:f>
              <c:numCache>
                <c:formatCode>General</c:formatCode>
                <c:ptCount val="100"/>
                <c:pt idx="1">
                  <c:v>20</c:v>
                </c:pt>
                <c:pt idx="2">
                  <c:v>20</c:v>
                </c:pt>
                <c:pt idx="3">
                  <c:v>20.8</c:v>
                </c:pt>
                <c:pt idx="5">
                  <c:v>24.3</c:v>
                </c:pt>
                <c:pt idx="6">
                  <c:v>42.3</c:v>
                </c:pt>
                <c:pt idx="7">
                  <c:v>17.5</c:v>
                </c:pt>
                <c:pt idx="8">
                  <c:v>12</c:v>
                </c:pt>
                <c:pt idx="9">
                  <c:v>46</c:v>
                </c:pt>
                <c:pt idx="10">
                  <c:v>38</c:v>
                </c:pt>
                <c:pt idx="11">
                  <c:v>18.2</c:v>
                </c:pt>
                <c:pt idx="12">
                  <c:v>20.8</c:v>
                </c:pt>
                <c:pt idx="13">
                  <c:v>18</c:v>
                </c:pt>
                <c:pt idx="14">
                  <c:v>3.9</c:v>
                </c:pt>
                <c:pt idx="15">
                  <c:v>24.3</c:v>
                </c:pt>
                <c:pt idx="16">
                  <c:v>12.7</c:v>
                </c:pt>
                <c:pt idx="17">
                  <c:v>14.8</c:v>
                </c:pt>
                <c:pt idx="18">
                  <c:v>13.7</c:v>
                </c:pt>
                <c:pt idx="19">
                  <c:v>5.9</c:v>
                </c:pt>
                <c:pt idx="20">
                  <c:v>19</c:v>
                </c:pt>
                <c:pt idx="22">
                  <c:v>42.3</c:v>
                </c:pt>
                <c:pt idx="23">
                  <c:v>42.3</c:v>
                </c:pt>
                <c:pt idx="24">
                  <c:v>46</c:v>
                </c:pt>
                <c:pt idx="25">
                  <c:v>38</c:v>
                </c:pt>
                <c:pt idx="26">
                  <c:v>31</c:v>
                </c:pt>
                <c:pt idx="27">
                  <c:v>60.1</c:v>
                </c:pt>
                <c:pt idx="28">
                  <c:v>18.2</c:v>
                </c:pt>
                <c:pt idx="29">
                  <c:v>46</c:v>
                </c:pt>
                <c:pt idx="30">
                  <c:v>38</c:v>
                </c:pt>
                <c:pt idx="31">
                  <c:v>31</c:v>
                </c:pt>
                <c:pt idx="32">
                  <c:v>60.1</c:v>
                </c:pt>
                <c:pt idx="33">
                  <c:v>18.2</c:v>
                </c:pt>
                <c:pt idx="34">
                  <c:v>31</c:v>
                </c:pt>
                <c:pt idx="35">
                  <c:v>46</c:v>
                </c:pt>
                <c:pt idx="36">
                  <c:v>38</c:v>
                </c:pt>
                <c:pt idx="37">
                  <c:v>60.1</c:v>
                </c:pt>
                <c:pt idx="38">
                  <c:v>18.2</c:v>
                </c:pt>
                <c:pt idx="39">
                  <c:v>26.3</c:v>
                </c:pt>
                <c:pt idx="40">
                  <c:v>26.3</c:v>
                </c:pt>
                <c:pt idx="41">
                  <c:v>36.799999999999997</c:v>
                </c:pt>
                <c:pt idx="42">
                  <c:v>17.2</c:v>
                </c:pt>
                <c:pt idx="43">
                  <c:v>43.5</c:v>
                </c:pt>
                <c:pt idx="44">
                  <c:v>31.5</c:v>
                </c:pt>
                <c:pt idx="46">
                  <c:v>5.9</c:v>
                </c:pt>
                <c:pt idx="47">
                  <c:v>8.1999999999999993</c:v>
                </c:pt>
                <c:pt idx="48">
                  <c:v>8.3000000000000007</c:v>
                </c:pt>
                <c:pt idx="49">
                  <c:v>79.599999999999994</c:v>
                </c:pt>
                <c:pt idx="50">
                  <c:v>79.599999999999994</c:v>
                </c:pt>
                <c:pt idx="51">
                  <c:v>18</c:v>
                </c:pt>
                <c:pt idx="52">
                  <c:v>16.3</c:v>
                </c:pt>
                <c:pt idx="53">
                  <c:v>24.3</c:v>
                </c:pt>
                <c:pt idx="54">
                  <c:v>42.3</c:v>
                </c:pt>
                <c:pt idx="55">
                  <c:v>21.3</c:v>
                </c:pt>
                <c:pt idx="56">
                  <c:v>5.9</c:v>
                </c:pt>
                <c:pt idx="58">
                  <c:v>31.5</c:v>
                </c:pt>
                <c:pt idx="59">
                  <c:v>28.4</c:v>
                </c:pt>
                <c:pt idx="60">
                  <c:v>31.5</c:v>
                </c:pt>
                <c:pt idx="61">
                  <c:v>23</c:v>
                </c:pt>
                <c:pt idx="62">
                  <c:v>17</c:v>
                </c:pt>
                <c:pt idx="64">
                  <c:v>57</c:v>
                </c:pt>
                <c:pt idx="65">
                  <c:v>20</c:v>
                </c:pt>
                <c:pt idx="66">
                  <c:v>32.799999999999997</c:v>
                </c:pt>
                <c:pt idx="67">
                  <c:v>28</c:v>
                </c:pt>
                <c:pt idx="68">
                  <c:v>41.1</c:v>
                </c:pt>
                <c:pt idx="69">
                  <c:v>65</c:v>
                </c:pt>
                <c:pt idx="71">
                  <c:v>42.3</c:v>
                </c:pt>
                <c:pt idx="72">
                  <c:v>24.3</c:v>
                </c:pt>
                <c:pt idx="73">
                  <c:v>60.1</c:v>
                </c:pt>
                <c:pt idx="74">
                  <c:v>17.399999999999999</c:v>
                </c:pt>
                <c:pt idx="75">
                  <c:v>39.5</c:v>
                </c:pt>
                <c:pt idx="76">
                  <c:v>27.4</c:v>
                </c:pt>
                <c:pt idx="77">
                  <c:v>20.5</c:v>
                </c:pt>
                <c:pt idx="78">
                  <c:v>30</c:v>
                </c:pt>
                <c:pt idx="79">
                  <c:v>33.299999999999997</c:v>
                </c:pt>
                <c:pt idx="80">
                  <c:v>9.4</c:v>
                </c:pt>
                <c:pt idx="81">
                  <c:v>19.8</c:v>
                </c:pt>
                <c:pt idx="82">
                  <c:v>39.200000000000003</c:v>
                </c:pt>
                <c:pt idx="84">
                  <c:v>20.6</c:v>
                </c:pt>
                <c:pt idx="85" formatCode="#,##0">
                  <c:v>20</c:v>
                </c:pt>
                <c:pt idx="86">
                  <c:v>36.799999999999997</c:v>
                </c:pt>
                <c:pt idx="87">
                  <c:v>45</c:v>
                </c:pt>
                <c:pt idx="88">
                  <c:v>37.5</c:v>
                </c:pt>
                <c:pt idx="89">
                  <c:v>68</c:v>
                </c:pt>
                <c:pt idx="90">
                  <c:v>57</c:v>
                </c:pt>
                <c:pt idx="91">
                  <c:v>31</c:v>
                </c:pt>
                <c:pt idx="92">
                  <c:v>35.9</c:v>
                </c:pt>
                <c:pt idx="93">
                  <c:v>17.3</c:v>
                </c:pt>
                <c:pt idx="94">
                  <c:v>21.2</c:v>
                </c:pt>
                <c:pt idx="95">
                  <c:v>14</c:v>
                </c:pt>
                <c:pt idx="96">
                  <c:v>27.5</c:v>
                </c:pt>
                <c:pt idx="97">
                  <c:v>21.8</c:v>
                </c:pt>
                <c:pt idx="98">
                  <c:v>21.8</c:v>
                </c:pt>
                <c:pt idx="99">
                  <c:v>40</c:v>
                </c:pt>
              </c:numCache>
            </c:numRef>
          </c:yVal>
          <c:smooth val="0"/>
          <c:extLst>
            <c:ext xmlns:c16="http://schemas.microsoft.com/office/drawing/2014/chart" uri="{C3380CC4-5D6E-409C-BE32-E72D297353CC}">
              <c16:uniqueId val="{00000001-5042-3B43-A6F2-676D88E22073}"/>
            </c:ext>
          </c:extLst>
        </c:ser>
        <c:dLbls>
          <c:showLegendKey val="0"/>
          <c:showVal val="0"/>
          <c:showCatName val="0"/>
          <c:showSerName val="0"/>
          <c:showPercent val="0"/>
          <c:showBubbleSize val="0"/>
        </c:dLbls>
        <c:axId val="1114128736"/>
        <c:axId val="1113965072"/>
      </c:scatterChart>
      <c:valAx>
        <c:axId val="1114128736"/>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Basal</a:t>
                </a:r>
                <a:r>
                  <a:rPr lang="en-US" baseline="0"/>
                  <a:t> Cortisol Concentration (ng/g)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965072"/>
        <c:crosses val="autoZero"/>
        <c:crossBetween val="midCat"/>
      </c:valAx>
      <c:valAx>
        <c:axId val="1113965072"/>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Maximum</a:t>
                </a:r>
                <a:r>
                  <a:rPr lang="en-US" baseline="0"/>
                  <a:t> Lifespan (yrs)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1287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Maximum</a:t>
            </a:r>
            <a:r>
              <a:rPr lang="en-US" baseline="0"/>
              <a:t> Lifespan vs. Basal Corticosterone Concentration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'Old Data Sheet'!$W$3:$W$8</c:f>
              <c:strCache>
                <c:ptCount val="6"/>
                <c:pt idx="0">
                  <c:v>adult</c:v>
                </c:pt>
                <c:pt idx="1">
                  <c:v>20</c:v>
                </c:pt>
                <c:pt idx="2">
                  <c:v>20</c:v>
                </c:pt>
                <c:pt idx="3">
                  <c:v>20.8</c:v>
                </c:pt>
                <c:pt idx="4">
                  <c:v>adult</c:v>
                </c:pt>
                <c:pt idx="5">
                  <c:v>24.3</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7.9357106129862312E-2"/>
                  <c:y val="0.1475485114630759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600" baseline="0"/>
                      <a:t>y = 116.25x</a:t>
                    </a:r>
                    <a:r>
                      <a:rPr lang="en-US" sz="1600" baseline="30000"/>
                      <a:t>-0.321</a:t>
                    </a:r>
                    <a:br>
                      <a:rPr lang="en-US" sz="1600" baseline="0"/>
                    </a:br>
                    <a:r>
                      <a:rPr lang="en-US" sz="1600" baseline="0"/>
                      <a:t>R² = 0.545</a:t>
                    </a:r>
                    <a:endParaRPr lang="en-US" sz="16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Sheet'!$D$9:$D$102</c:f>
              <c:numCache>
                <c:formatCode>General</c:formatCode>
                <c:ptCount val="94"/>
                <c:pt idx="29">
                  <c:v>1240</c:v>
                </c:pt>
                <c:pt idx="30">
                  <c:v>25</c:v>
                </c:pt>
                <c:pt idx="31">
                  <c:v>60</c:v>
                </c:pt>
                <c:pt idx="32">
                  <c:v>90</c:v>
                </c:pt>
                <c:pt idx="39">
                  <c:v>1743.1</c:v>
                </c:pt>
                <c:pt idx="40">
                  <c:v>2842.33</c:v>
                </c:pt>
                <c:pt idx="41">
                  <c:v>1711.28</c:v>
                </c:pt>
                <c:pt idx="42">
                  <c:v>1436.55</c:v>
                </c:pt>
                <c:pt idx="52">
                  <c:v>5.1319999999999997</c:v>
                </c:pt>
                <c:pt idx="65">
                  <c:v>102.75</c:v>
                </c:pt>
                <c:pt idx="66">
                  <c:v>640</c:v>
                </c:pt>
                <c:pt idx="68">
                  <c:v>1030</c:v>
                </c:pt>
                <c:pt idx="69">
                  <c:v>64.758300000000006</c:v>
                </c:pt>
                <c:pt idx="70">
                  <c:v>104.312</c:v>
                </c:pt>
                <c:pt idx="71">
                  <c:v>232.9</c:v>
                </c:pt>
                <c:pt idx="72">
                  <c:v>354.7</c:v>
                </c:pt>
                <c:pt idx="73">
                  <c:v>64.099999999999994</c:v>
                </c:pt>
                <c:pt idx="74">
                  <c:v>101.9</c:v>
                </c:pt>
                <c:pt idx="75">
                  <c:v>302.2</c:v>
                </c:pt>
                <c:pt idx="76">
                  <c:v>45.1</c:v>
                </c:pt>
                <c:pt idx="77">
                  <c:v>215.8</c:v>
                </c:pt>
                <c:pt idx="78">
                  <c:v>175</c:v>
                </c:pt>
                <c:pt idx="81">
                  <c:v>8.6</c:v>
                </c:pt>
                <c:pt idx="85">
                  <c:v>16.2</c:v>
                </c:pt>
                <c:pt idx="88">
                  <c:v>132</c:v>
                </c:pt>
              </c:numCache>
            </c:numRef>
          </c:xVal>
          <c:yVal>
            <c:numRef>
              <c:f>'Old Data Sheet'!$W$9:$W$102</c:f>
              <c:numCache>
                <c:formatCode>General</c:formatCode>
                <c:ptCount val="94"/>
                <c:pt idx="0">
                  <c:v>42.3</c:v>
                </c:pt>
                <c:pt idx="1">
                  <c:v>17.5</c:v>
                </c:pt>
                <c:pt idx="2">
                  <c:v>12</c:v>
                </c:pt>
                <c:pt idx="3">
                  <c:v>46</c:v>
                </c:pt>
                <c:pt idx="4">
                  <c:v>38</c:v>
                </c:pt>
                <c:pt idx="5">
                  <c:v>18.2</c:v>
                </c:pt>
                <c:pt idx="6">
                  <c:v>20.8</c:v>
                </c:pt>
                <c:pt idx="7">
                  <c:v>18</c:v>
                </c:pt>
                <c:pt idx="8">
                  <c:v>3.9</c:v>
                </c:pt>
                <c:pt idx="9">
                  <c:v>24.3</c:v>
                </c:pt>
                <c:pt idx="10">
                  <c:v>12.7</c:v>
                </c:pt>
                <c:pt idx="11">
                  <c:v>14.8</c:v>
                </c:pt>
                <c:pt idx="12">
                  <c:v>13.7</c:v>
                </c:pt>
                <c:pt idx="13">
                  <c:v>5.9</c:v>
                </c:pt>
                <c:pt idx="14">
                  <c:v>19</c:v>
                </c:pt>
                <c:pt idx="16">
                  <c:v>42.3</c:v>
                </c:pt>
                <c:pt idx="17">
                  <c:v>42.3</c:v>
                </c:pt>
                <c:pt idx="18">
                  <c:v>46</c:v>
                </c:pt>
                <c:pt idx="19">
                  <c:v>38</c:v>
                </c:pt>
                <c:pt idx="20">
                  <c:v>31</c:v>
                </c:pt>
                <c:pt idx="21">
                  <c:v>60.1</c:v>
                </c:pt>
                <c:pt idx="22">
                  <c:v>18.2</c:v>
                </c:pt>
                <c:pt idx="23">
                  <c:v>46</c:v>
                </c:pt>
                <c:pt idx="24">
                  <c:v>38</c:v>
                </c:pt>
                <c:pt idx="25">
                  <c:v>31</c:v>
                </c:pt>
                <c:pt idx="26">
                  <c:v>60.1</c:v>
                </c:pt>
                <c:pt idx="27">
                  <c:v>18.2</c:v>
                </c:pt>
                <c:pt idx="28">
                  <c:v>31</c:v>
                </c:pt>
                <c:pt idx="29">
                  <c:v>46</c:v>
                </c:pt>
                <c:pt idx="30">
                  <c:v>38</c:v>
                </c:pt>
                <c:pt idx="31">
                  <c:v>60.1</c:v>
                </c:pt>
                <c:pt idx="32">
                  <c:v>18.2</c:v>
                </c:pt>
                <c:pt idx="33">
                  <c:v>26.3</c:v>
                </c:pt>
                <c:pt idx="34">
                  <c:v>26.3</c:v>
                </c:pt>
                <c:pt idx="35">
                  <c:v>36.799999999999997</c:v>
                </c:pt>
                <c:pt idx="36">
                  <c:v>17.2</c:v>
                </c:pt>
                <c:pt idx="37">
                  <c:v>43.5</c:v>
                </c:pt>
                <c:pt idx="38">
                  <c:v>31.5</c:v>
                </c:pt>
                <c:pt idx="40">
                  <c:v>5.9</c:v>
                </c:pt>
                <c:pt idx="41">
                  <c:v>8.1999999999999993</c:v>
                </c:pt>
                <c:pt idx="42">
                  <c:v>8.3000000000000007</c:v>
                </c:pt>
                <c:pt idx="43">
                  <c:v>79.599999999999994</c:v>
                </c:pt>
                <c:pt idx="44">
                  <c:v>79.599999999999994</c:v>
                </c:pt>
                <c:pt idx="45">
                  <c:v>18</c:v>
                </c:pt>
                <c:pt idx="46">
                  <c:v>16.3</c:v>
                </c:pt>
                <c:pt idx="47">
                  <c:v>24.3</c:v>
                </c:pt>
                <c:pt idx="48">
                  <c:v>42.3</c:v>
                </c:pt>
                <c:pt idx="49">
                  <c:v>21.3</c:v>
                </c:pt>
                <c:pt idx="50">
                  <c:v>5.9</c:v>
                </c:pt>
                <c:pt idx="52">
                  <c:v>31.5</c:v>
                </c:pt>
                <c:pt idx="53">
                  <c:v>28.4</c:v>
                </c:pt>
                <c:pt idx="54">
                  <c:v>31.5</c:v>
                </c:pt>
                <c:pt idx="55">
                  <c:v>23</c:v>
                </c:pt>
                <c:pt idx="56">
                  <c:v>17</c:v>
                </c:pt>
                <c:pt idx="58">
                  <c:v>57</c:v>
                </c:pt>
                <c:pt idx="59">
                  <c:v>20</c:v>
                </c:pt>
                <c:pt idx="60">
                  <c:v>32.799999999999997</c:v>
                </c:pt>
                <c:pt idx="61">
                  <c:v>28</c:v>
                </c:pt>
                <c:pt idx="62">
                  <c:v>41.1</c:v>
                </c:pt>
                <c:pt idx="63">
                  <c:v>65</c:v>
                </c:pt>
                <c:pt idx="65">
                  <c:v>42.3</c:v>
                </c:pt>
                <c:pt idx="66">
                  <c:v>24.3</c:v>
                </c:pt>
                <c:pt idx="67">
                  <c:v>60.1</c:v>
                </c:pt>
                <c:pt idx="68">
                  <c:v>17.399999999999999</c:v>
                </c:pt>
                <c:pt idx="69">
                  <c:v>39.5</c:v>
                </c:pt>
                <c:pt idx="70">
                  <c:v>27.4</c:v>
                </c:pt>
                <c:pt idx="71">
                  <c:v>20.5</c:v>
                </c:pt>
                <c:pt idx="72">
                  <c:v>30</c:v>
                </c:pt>
                <c:pt idx="73">
                  <c:v>33.299999999999997</c:v>
                </c:pt>
                <c:pt idx="74">
                  <c:v>9.4</c:v>
                </c:pt>
                <c:pt idx="75">
                  <c:v>19.8</c:v>
                </c:pt>
                <c:pt idx="76">
                  <c:v>39.200000000000003</c:v>
                </c:pt>
                <c:pt idx="78">
                  <c:v>20.6</c:v>
                </c:pt>
                <c:pt idx="79" formatCode="#,##0">
                  <c:v>20</c:v>
                </c:pt>
                <c:pt idx="80">
                  <c:v>36.799999999999997</c:v>
                </c:pt>
                <c:pt idx="81">
                  <c:v>45</c:v>
                </c:pt>
                <c:pt idx="82">
                  <c:v>37.5</c:v>
                </c:pt>
                <c:pt idx="83">
                  <c:v>68</c:v>
                </c:pt>
                <c:pt idx="84">
                  <c:v>57</c:v>
                </c:pt>
                <c:pt idx="85">
                  <c:v>31</c:v>
                </c:pt>
                <c:pt idx="86">
                  <c:v>35.9</c:v>
                </c:pt>
                <c:pt idx="87">
                  <c:v>17.3</c:v>
                </c:pt>
                <c:pt idx="88">
                  <c:v>21.2</c:v>
                </c:pt>
                <c:pt idx="89">
                  <c:v>14</c:v>
                </c:pt>
                <c:pt idx="90">
                  <c:v>27.5</c:v>
                </c:pt>
                <c:pt idx="91">
                  <c:v>21.8</c:v>
                </c:pt>
                <c:pt idx="92">
                  <c:v>21.8</c:v>
                </c:pt>
                <c:pt idx="93">
                  <c:v>40</c:v>
                </c:pt>
              </c:numCache>
            </c:numRef>
          </c:yVal>
          <c:smooth val="0"/>
          <c:extLst>
            <c:ext xmlns:c16="http://schemas.microsoft.com/office/drawing/2014/chart" uri="{C3380CC4-5D6E-409C-BE32-E72D297353CC}">
              <c16:uniqueId val="{00000001-5937-DD4E-8F93-F7EB9D8D0DB4}"/>
            </c:ext>
          </c:extLst>
        </c:ser>
        <c:dLbls>
          <c:showLegendKey val="0"/>
          <c:showVal val="0"/>
          <c:showCatName val="0"/>
          <c:showSerName val="0"/>
          <c:showPercent val="0"/>
          <c:showBubbleSize val="0"/>
        </c:dLbls>
        <c:axId val="1253110112"/>
        <c:axId val="1253875280"/>
      </c:scatterChart>
      <c:valAx>
        <c:axId val="1253110112"/>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875280"/>
        <c:crosses val="autoZero"/>
        <c:crossBetween val="midCat"/>
      </c:valAx>
      <c:valAx>
        <c:axId val="1253875280"/>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1101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Cortisol</a:t>
            </a:r>
            <a:r>
              <a:rPr lang="en-US" baseline="0"/>
              <a:t> (Series 1), Corticosterone (Series 2) and Total FGMs (Series 3) vs. Body Mass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9361475251936587E-2"/>
          <c:y val="0.1671346690213209"/>
          <c:w val="0.82053018372703412"/>
          <c:h val="0.61498432487605714"/>
        </c:manualLayout>
      </c:layout>
      <c:scatterChart>
        <c:scatterStyle val="lineMarker"/>
        <c:varyColors val="0"/>
        <c:ser>
          <c:idx val="0"/>
          <c:order val="0"/>
          <c:spPr>
            <a:ln w="2540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power"/>
            <c:dispRSqr val="0"/>
            <c:dispEq val="0"/>
          </c:trendline>
          <c:xVal>
            <c:numRef>
              <c:f>'Old Data Sheet'!$X$3:$X$102</c:f>
              <c:numCache>
                <c:formatCode>#,##0</c:formatCode>
                <c:ptCount val="100"/>
                <c:pt idx="0">
                  <c:v>7000</c:v>
                </c:pt>
                <c:pt idx="1">
                  <c:v>750000</c:v>
                </c:pt>
                <c:pt idx="2">
                  <c:v>750000</c:v>
                </c:pt>
                <c:pt idx="3">
                  <c:v>61000</c:v>
                </c:pt>
                <c:pt idx="4">
                  <c:v>1600</c:v>
                </c:pt>
                <c:pt idx="5">
                  <c:v>164500</c:v>
                </c:pt>
                <c:pt idx="6">
                  <c:v>215000</c:v>
                </c:pt>
                <c:pt idx="7">
                  <c:v>21667</c:v>
                </c:pt>
                <c:pt idx="8" formatCode="General">
                  <c:v>728</c:v>
                </c:pt>
                <c:pt idx="9">
                  <c:v>2643</c:v>
                </c:pt>
                <c:pt idx="10">
                  <c:v>5735</c:v>
                </c:pt>
                <c:pt idx="11" formatCode="General">
                  <c:v>64.8</c:v>
                </c:pt>
                <c:pt idx="12">
                  <c:v>61000</c:v>
                </c:pt>
                <c:pt idx="13">
                  <c:v>4175</c:v>
                </c:pt>
                <c:pt idx="14" formatCode="General">
                  <c:v>105</c:v>
                </c:pt>
                <c:pt idx="15">
                  <c:v>164500</c:v>
                </c:pt>
                <c:pt idx="16">
                  <c:v>6500</c:v>
                </c:pt>
                <c:pt idx="17">
                  <c:v>17000</c:v>
                </c:pt>
                <c:pt idx="18">
                  <c:v>102500</c:v>
                </c:pt>
                <c:pt idx="19">
                  <c:v>45.2</c:v>
                </c:pt>
                <c:pt idx="20">
                  <c:v>4500</c:v>
                </c:pt>
                <c:pt idx="21">
                  <c:v>413</c:v>
                </c:pt>
                <c:pt idx="22">
                  <c:v>215000</c:v>
                </c:pt>
                <c:pt idx="23">
                  <c:v>215000</c:v>
                </c:pt>
                <c:pt idx="24">
                  <c:v>2643</c:v>
                </c:pt>
                <c:pt idx="25">
                  <c:v>5735</c:v>
                </c:pt>
                <c:pt idx="26">
                  <c:v>5000</c:v>
                </c:pt>
                <c:pt idx="27">
                  <c:v>139842</c:v>
                </c:pt>
                <c:pt idx="28" formatCode="General">
                  <c:v>64.8</c:v>
                </c:pt>
                <c:pt idx="29">
                  <c:v>2643</c:v>
                </c:pt>
                <c:pt idx="30">
                  <c:v>5735</c:v>
                </c:pt>
                <c:pt idx="31">
                  <c:v>5000</c:v>
                </c:pt>
                <c:pt idx="32">
                  <c:v>139842</c:v>
                </c:pt>
                <c:pt idx="33" formatCode="General">
                  <c:v>64.8</c:v>
                </c:pt>
                <c:pt idx="34">
                  <c:v>5000</c:v>
                </c:pt>
                <c:pt idx="35">
                  <c:v>2643</c:v>
                </c:pt>
                <c:pt idx="36">
                  <c:v>5735</c:v>
                </c:pt>
                <c:pt idx="37">
                  <c:v>139842</c:v>
                </c:pt>
                <c:pt idx="38" formatCode="General">
                  <c:v>64.8</c:v>
                </c:pt>
                <c:pt idx="39">
                  <c:v>119700</c:v>
                </c:pt>
                <c:pt idx="40">
                  <c:v>119700</c:v>
                </c:pt>
                <c:pt idx="41">
                  <c:v>1500</c:v>
                </c:pt>
                <c:pt idx="42">
                  <c:v>10650</c:v>
                </c:pt>
                <c:pt idx="43">
                  <c:v>1602330</c:v>
                </c:pt>
                <c:pt idx="44">
                  <c:v>20200</c:v>
                </c:pt>
                <c:pt idx="45">
                  <c:v>20.87</c:v>
                </c:pt>
                <c:pt idx="46">
                  <c:v>30</c:v>
                </c:pt>
                <c:pt idx="47">
                  <c:v>37</c:v>
                </c:pt>
                <c:pt idx="48" formatCode="General">
                  <c:v>21</c:v>
                </c:pt>
                <c:pt idx="49">
                  <c:v>3178000</c:v>
                </c:pt>
                <c:pt idx="50">
                  <c:v>3178000</c:v>
                </c:pt>
                <c:pt idx="51">
                  <c:v>4175</c:v>
                </c:pt>
                <c:pt idx="52">
                  <c:v>5200</c:v>
                </c:pt>
                <c:pt idx="53">
                  <c:v>164500</c:v>
                </c:pt>
                <c:pt idx="54">
                  <c:v>215000</c:v>
                </c:pt>
                <c:pt idx="55">
                  <c:v>4132</c:v>
                </c:pt>
                <c:pt idx="56">
                  <c:v>45.2</c:v>
                </c:pt>
                <c:pt idx="57" formatCode="General">
                  <c:v>412.5</c:v>
                </c:pt>
                <c:pt idx="58">
                  <c:v>200000</c:v>
                </c:pt>
                <c:pt idx="59" formatCode="General">
                  <c:v>11950</c:v>
                </c:pt>
                <c:pt idx="60">
                  <c:v>200000</c:v>
                </c:pt>
                <c:pt idx="61">
                  <c:v>87000</c:v>
                </c:pt>
                <c:pt idx="62">
                  <c:v>26500</c:v>
                </c:pt>
                <c:pt idx="63">
                  <c:v>17400</c:v>
                </c:pt>
                <c:pt idx="64">
                  <c:v>1100000</c:v>
                </c:pt>
                <c:pt idx="65">
                  <c:v>1300</c:v>
                </c:pt>
                <c:pt idx="66">
                  <c:v>700000</c:v>
                </c:pt>
                <c:pt idx="67">
                  <c:v>81150</c:v>
                </c:pt>
                <c:pt idx="68">
                  <c:v>63000</c:v>
                </c:pt>
                <c:pt idx="69" formatCode="General">
                  <c:v>3940034</c:v>
                </c:pt>
                <c:pt idx="70" formatCode="General">
                  <c:v>2800</c:v>
                </c:pt>
                <c:pt idx="71">
                  <c:v>215000</c:v>
                </c:pt>
                <c:pt idx="72">
                  <c:v>164500</c:v>
                </c:pt>
                <c:pt idx="73">
                  <c:v>139842</c:v>
                </c:pt>
                <c:pt idx="74">
                  <c:v>1332</c:v>
                </c:pt>
                <c:pt idx="75">
                  <c:v>800000</c:v>
                </c:pt>
                <c:pt idx="76">
                  <c:v>315000</c:v>
                </c:pt>
                <c:pt idx="77" formatCode="#,##0.00">
                  <c:v>38446.1</c:v>
                </c:pt>
                <c:pt idx="78">
                  <c:v>3900</c:v>
                </c:pt>
                <c:pt idx="79">
                  <c:v>100000</c:v>
                </c:pt>
                <c:pt idx="80">
                  <c:v>1021</c:v>
                </c:pt>
                <c:pt idx="81">
                  <c:v>19500</c:v>
                </c:pt>
                <c:pt idx="82">
                  <c:v>103750</c:v>
                </c:pt>
                <c:pt idx="83" formatCode="General">
                  <c:v>22983.200000000001</c:v>
                </c:pt>
                <c:pt idx="84">
                  <c:v>776</c:v>
                </c:pt>
                <c:pt idx="85">
                  <c:v>12000</c:v>
                </c:pt>
                <c:pt idx="86">
                  <c:v>117500</c:v>
                </c:pt>
                <c:pt idx="87">
                  <c:v>2175000</c:v>
                </c:pt>
                <c:pt idx="88">
                  <c:v>18000</c:v>
                </c:pt>
                <c:pt idx="89">
                  <c:v>45000</c:v>
                </c:pt>
                <c:pt idx="90">
                  <c:v>444900</c:v>
                </c:pt>
                <c:pt idx="91">
                  <c:v>384000</c:v>
                </c:pt>
                <c:pt idx="92">
                  <c:v>46000</c:v>
                </c:pt>
                <c:pt idx="93">
                  <c:v>43000</c:v>
                </c:pt>
                <c:pt idx="94">
                  <c:v>3500</c:v>
                </c:pt>
                <c:pt idx="95" formatCode="General">
                  <c:v>235</c:v>
                </c:pt>
                <c:pt idx="96">
                  <c:v>177500</c:v>
                </c:pt>
                <c:pt idx="97">
                  <c:v>101250</c:v>
                </c:pt>
                <c:pt idx="98">
                  <c:v>101250</c:v>
                </c:pt>
                <c:pt idx="99">
                  <c:v>277500</c:v>
                </c:pt>
              </c:numCache>
            </c:numRef>
          </c:xVal>
          <c:yVal>
            <c:numRef>
              <c:f>'Old Data Sheet'!$C$3:$C$102</c:f>
              <c:numCache>
                <c:formatCode>General</c:formatCode>
                <c:ptCount val="100"/>
                <c:pt idx="1">
                  <c:v>20.6</c:v>
                </c:pt>
                <c:pt idx="4">
                  <c:v>1054</c:v>
                </c:pt>
                <c:pt idx="7">
                  <c:v>60.92</c:v>
                </c:pt>
                <c:pt idx="8">
                  <c:v>349.23</c:v>
                </c:pt>
                <c:pt idx="9">
                  <c:v>7860</c:v>
                </c:pt>
                <c:pt idx="10">
                  <c:v>35.5</c:v>
                </c:pt>
                <c:pt idx="11">
                  <c:v>420</c:v>
                </c:pt>
                <c:pt idx="20">
                  <c:v>2625</c:v>
                </c:pt>
                <c:pt idx="34">
                  <c:v>21</c:v>
                </c:pt>
                <c:pt idx="41">
                  <c:v>642.1</c:v>
                </c:pt>
                <c:pt idx="43">
                  <c:v>9.66</c:v>
                </c:pt>
                <c:pt idx="49">
                  <c:v>49.643599999999999</c:v>
                </c:pt>
                <c:pt idx="57">
                  <c:v>263.02999999999997</c:v>
                </c:pt>
                <c:pt idx="58">
                  <c:v>0.72850000000000004</c:v>
                </c:pt>
                <c:pt idx="59">
                  <c:v>51.505000000000003</c:v>
                </c:pt>
                <c:pt idx="64">
                  <c:v>45.029000000000003</c:v>
                </c:pt>
                <c:pt idx="65">
                  <c:v>25.683</c:v>
                </c:pt>
                <c:pt idx="67">
                  <c:v>307.8</c:v>
                </c:pt>
                <c:pt idx="68">
                  <c:v>43.75</c:v>
                </c:pt>
                <c:pt idx="70">
                  <c:v>4.375</c:v>
                </c:pt>
                <c:pt idx="71">
                  <c:v>6.3</c:v>
                </c:pt>
                <c:pt idx="72">
                  <c:v>30</c:v>
                </c:pt>
                <c:pt idx="73">
                  <c:v>20</c:v>
                </c:pt>
                <c:pt idx="74">
                  <c:v>58.4</c:v>
                </c:pt>
                <c:pt idx="75">
                  <c:v>23.725000000000001</c:v>
                </c:pt>
                <c:pt idx="76">
                  <c:v>64.122</c:v>
                </c:pt>
                <c:pt idx="77">
                  <c:v>618.5</c:v>
                </c:pt>
                <c:pt idx="78">
                  <c:v>213.6</c:v>
                </c:pt>
                <c:pt idx="79">
                  <c:v>48.7</c:v>
                </c:pt>
                <c:pt idx="80">
                  <c:v>170.1</c:v>
                </c:pt>
                <c:pt idx="81">
                  <c:v>248.8</c:v>
                </c:pt>
                <c:pt idx="82">
                  <c:v>80.7</c:v>
                </c:pt>
                <c:pt idx="83">
                  <c:v>312.55</c:v>
                </c:pt>
                <c:pt idx="84">
                  <c:v>110.2</c:v>
                </c:pt>
                <c:pt idx="85">
                  <c:v>47.548299999999998</c:v>
                </c:pt>
                <c:pt idx="86">
                  <c:v>114.66</c:v>
                </c:pt>
                <c:pt idx="87">
                  <c:v>4.0999999999999996</c:v>
                </c:pt>
                <c:pt idx="88">
                  <c:v>63.3</c:v>
                </c:pt>
                <c:pt idx="89">
                  <c:v>3.2</c:v>
                </c:pt>
                <c:pt idx="92">
                  <c:v>97.421999999999997</c:v>
                </c:pt>
                <c:pt idx="93">
                  <c:v>45.469000000000001</c:v>
                </c:pt>
                <c:pt idx="95">
                  <c:v>138.59800000000001</c:v>
                </c:pt>
                <c:pt idx="96">
                  <c:v>83.043000000000006</c:v>
                </c:pt>
                <c:pt idx="99">
                  <c:v>19.042999999999999</c:v>
                </c:pt>
              </c:numCache>
            </c:numRef>
          </c:yVal>
          <c:smooth val="0"/>
          <c:extLst>
            <c:ext xmlns:c16="http://schemas.microsoft.com/office/drawing/2014/chart" uri="{C3380CC4-5D6E-409C-BE32-E72D297353CC}">
              <c16:uniqueId val="{00000001-FE94-0D49-8B74-D7972D564E78}"/>
            </c:ext>
          </c:extLst>
        </c:ser>
        <c:ser>
          <c:idx val="1"/>
          <c:order val="1"/>
          <c:spPr>
            <a:ln w="1905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power"/>
            <c:dispRSqr val="0"/>
            <c:dispEq val="0"/>
          </c:trendline>
          <c:xVal>
            <c:numRef>
              <c:f>'Old Data Sheet'!$X$3:$X$102</c:f>
              <c:numCache>
                <c:formatCode>#,##0</c:formatCode>
                <c:ptCount val="100"/>
                <c:pt idx="0">
                  <c:v>7000</c:v>
                </c:pt>
                <c:pt idx="1">
                  <c:v>750000</c:v>
                </c:pt>
                <c:pt idx="2">
                  <c:v>750000</c:v>
                </c:pt>
                <c:pt idx="3">
                  <c:v>61000</c:v>
                </c:pt>
                <c:pt idx="4">
                  <c:v>1600</c:v>
                </c:pt>
                <c:pt idx="5">
                  <c:v>164500</c:v>
                </c:pt>
                <c:pt idx="6">
                  <c:v>215000</c:v>
                </c:pt>
                <c:pt idx="7">
                  <c:v>21667</c:v>
                </c:pt>
                <c:pt idx="8" formatCode="General">
                  <c:v>728</c:v>
                </c:pt>
                <c:pt idx="9">
                  <c:v>2643</c:v>
                </c:pt>
                <c:pt idx="10">
                  <c:v>5735</c:v>
                </c:pt>
                <c:pt idx="11" formatCode="General">
                  <c:v>64.8</c:v>
                </c:pt>
                <c:pt idx="12">
                  <c:v>61000</c:v>
                </c:pt>
                <c:pt idx="13">
                  <c:v>4175</c:v>
                </c:pt>
                <c:pt idx="14" formatCode="General">
                  <c:v>105</c:v>
                </c:pt>
                <c:pt idx="15">
                  <c:v>164500</c:v>
                </c:pt>
                <c:pt idx="16">
                  <c:v>6500</c:v>
                </c:pt>
                <c:pt idx="17">
                  <c:v>17000</c:v>
                </c:pt>
                <c:pt idx="18">
                  <c:v>102500</c:v>
                </c:pt>
                <c:pt idx="19">
                  <c:v>45.2</c:v>
                </c:pt>
                <c:pt idx="20">
                  <c:v>4500</c:v>
                </c:pt>
                <c:pt idx="21">
                  <c:v>413</c:v>
                </c:pt>
                <c:pt idx="22">
                  <c:v>215000</c:v>
                </c:pt>
                <c:pt idx="23">
                  <c:v>215000</c:v>
                </c:pt>
                <c:pt idx="24">
                  <c:v>2643</c:v>
                </c:pt>
                <c:pt idx="25">
                  <c:v>5735</c:v>
                </c:pt>
                <c:pt idx="26">
                  <c:v>5000</c:v>
                </c:pt>
                <c:pt idx="27">
                  <c:v>139842</c:v>
                </c:pt>
                <c:pt idx="28" formatCode="General">
                  <c:v>64.8</c:v>
                </c:pt>
                <c:pt idx="29">
                  <c:v>2643</c:v>
                </c:pt>
                <c:pt idx="30">
                  <c:v>5735</c:v>
                </c:pt>
                <c:pt idx="31">
                  <c:v>5000</c:v>
                </c:pt>
                <c:pt idx="32">
                  <c:v>139842</c:v>
                </c:pt>
                <c:pt idx="33" formatCode="General">
                  <c:v>64.8</c:v>
                </c:pt>
                <c:pt idx="34">
                  <c:v>5000</c:v>
                </c:pt>
                <c:pt idx="35">
                  <c:v>2643</c:v>
                </c:pt>
                <c:pt idx="36">
                  <c:v>5735</c:v>
                </c:pt>
                <c:pt idx="37">
                  <c:v>139842</c:v>
                </c:pt>
                <c:pt idx="38" formatCode="General">
                  <c:v>64.8</c:v>
                </c:pt>
                <c:pt idx="39">
                  <c:v>119700</c:v>
                </c:pt>
                <c:pt idx="40">
                  <c:v>119700</c:v>
                </c:pt>
                <c:pt idx="41">
                  <c:v>1500</c:v>
                </c:pt>
                <c:pt idx="42">
                  <c:v>10650</c:v>
                </c:pt>
                <c:pt idx="43">
                  <c:v>1602330</c:v>
                </c:pt>
                <c:pt idx="44">
                  <c:v>20200</c:v>
                </c:pt>
                <c:pt idx="45">
                  <c:v>20.87</c:v>
                </c:pt>
                <c:pt idx="46">
                  <c:v>30</c:v>
                </c:pt>
                <c:pt idx="47">
                  <c:v>37</c:v>
                </c:pt>
                <c:pt idx="48" formatCode="General">
                  <c:v>21</c:v>
                </c:pt>
                <c:pt idx="49">
                  <c:v>3178000</c:v>
                </c:pt>
                <c:pt idx="50">
                  <c:v>3178000</c:v>
                </c:pt>
                <c:pt idx="51">
                  <c:v>4175</c:v>
                </c:pt>
                <c:pt idx="52">
                  <c:v>5200</c:v>
                </c:pt>
                <c:pt idx="53">
                  <c:v>164500</c:v>
                </c:pt>
                <c:pt idx="54">
                  <c:v>215000</c:v>
                </c:pt>
                <c:pt idx="55">
                  <c:v>4132</c:v>
                </c:pt>
                <c:pt idx="56">
                  <c:v>45.2</c:v>
                </c:pt>
                <c:pt idx="57" formatCode="General">
                  <c:v>412.5</c:v>
                </c:pt>
                <c:pt idx="58">
                  <c:v>200000</c:v>
                </c:pt>
                <c:pt idx="59" formatCode="General">
                  <c:v>11950</c:v>
                </c:pt>
                <c:pt idx="60">
                  <c:v>200000</c:v>
                </c:pt>
                <c:pt idx="61">
                  <c:v>87000</c:v>
                </c:pt>
                <c:pt idx="62">
                  <c:v>26500</c:v>
                </c:pt>
                <c:pt idx="63">
                  <c:v>17400</c:v>
                </c:pt>
                <c:pt idx="64">
                  <c:v>1100000</c:v>
                </c:pt>
                <c:pt idx="65">
                  <c:v>1300</c:v>
                </c:pt>
                <c:pt idx="66">
                  <c:v>700000</c:v>
                </c:pt>
                <c:pt idx="67">
                  <c:v>81150</c:v>
                </c:pt>
                <c:pt idx="68">
                  <c:v>63000</c:v>
                </c:pt>
                <c:pt idx="69" formatCode="General">
                  <c:v>3940034</c:v>
                </c:pt>
                <c:pt idx="70" formatCode="General">
                  <c:v>2800</c:v>
                </c:pt>
                <c:pt idx="71">
                  <c:v>215000</c:v>
                </c:pt>
                <c:pt idx="72">
                  <c:v>164500</c:v>
                </c:pt>
                <c:pt idx="73">
                  <c:v>139842</c:v>
                </c:pt>
                <c:pt idx="74">
                  <c:v>1332</c:v>
                </c:pt>
                <c:pt idx="75">
                  <c:v>800000</c:v>
                </c:pt>
                <c:pt idx="76">
                  <c:v>315000</c:v>
                </c:pt>
                <c:pt idx="77" formatCode="#,##0.00">
                  <c:v>38446.1</c:v>
                </c:pt>
                <c:pt idx="78">
                  <c:v>3900</c:v>
                </c:pt>
                <c:pt idx="79">
                  <c:v>100000</c:v>
                </c:pt>
                <c:pt idx="80">
                  <c:v>1021</c:v>
                </c:pt>
                <c:pt idx="81">
                  <c:v>19500</c:v>
                </c:pt>
                <c:pt idx="82">
                  <c:v>103750</c:v>
                </c:pt>
                <c:pt idx="83" formatCode="General">
                  <c:v>22983.200000000001</c:v>
                </c:pt>
                <c:pt idx="84">
                  <c:v>776</c:v>
                </c:pt>
                <c:pt idx="85">
                  <c:v>12000</c:v>
                </c:pt>
                <c:pt idx="86">
                  <c:v>117500</c:v>
                </c:pt>
                <c:pt idx="87">
                  <c:v>2175000</c:v>
                </c:pt>
                <c:pt idx="88">
                  <c:v>18000</c:v>
                </c:pt>
                <c:pt idx="89">
                  <c:v>45000</c:v>
                </c:pt>
                <c:pt idx="90">
                  <c:v>444900</c:v>
                </c:pt>
                <c:pt idx="91">
                  <c:v>384000</c:v>
                </c:pt>
                <c:pt idx="92">
                  <c:v>46000</c:v>
                </c:pt>
                <c:pt idx="93">
                  <c:v>43000</c:v>
                </c:pt>
                <c:pt idx="94">
                  <c:v>3500</c:v>
                </c:pt>
                <c:pt idx="95" formatCode="General">
                  <c:v>235</c:v>
                </c:pt>
                <c:pt idx="96">
                  <c:v>177500</c:v>
                </c:pt>
                <c:pt idx="97">
                  <c:v>101250</c:v>
                </c:pt>
                <c:pt idx="98">
                  <c:v>101250</c:v>
                </c:pt>
                <c:pt idx="99">
                  <c:v>277500</c:v>
                </c:pt>
              </c:numCache>
            </c:numRef>
          </c:xVal>
          <c:yVal>
            <c:numRef>
              <c:f>'Old Data Sheet'!$D$3:$D$102</c:f>
              <c:numCache>
                <c:formatCode>General</c:formatCode>
                <c:ptCount val="100"/>
                <c:pt idx="35">
                  <c:v>1240</c:v>
                </c:pt>
                <c:pt idx="36">
                  <c:v>25</c:v>
                </c:pt>
                <c:pt idx="37">
                  <c:v>60</c:v>
                </c:pt>
                <c:pt idx="38">
                  <c:v>90</c:v>
                </c:pt>
                <c:pt idx="45">
                  <c:v>1743.1</c:v>
                </c:pt>
                <c:pt idx="46">
                  <c:v>2842.33</c:v>
                </c:pt>
                <c:pt idx="47">
                  <c:v>1711.28</c:v>
                </c:pt>
                <c:pt idx="48">
                  <c:v>1436.55</c:v>
                </c:pt>
                <c:pt idx="58">
                  <c:v>5.1319999999999997</c:v>
                </c:pt>
                <c:pt idx="71">
                  <c:v>102.75</c:v>
                </c:pt>
                <c:pt idx="72">
                  <c:v>640</c:v>
                </c:pt>
                <c:pt idx="74">
                  <c:v>1030</c:v>
                </c:pt>
                <c:pt idx="75">
                  <c:v>64.758300000000006</c:v>
                </c:pt>
                <c:pt idx="76">
                  <c:v>104.312</c:v>
                </c:pt>
                <c:pt idx="77">
                  <c:v>232.9</c:v>
                </c:pt>
                <c:pt idx="78">
                  <c:v>354.7</c:v>
                </c:pt>
                <c:pt idx="79">
                  <c:v>64.099999999999994</c:v>
                </c:pt>
                <c:pt idx="80">
                  <c:v>101.9</c:v>
                </c:pt>
                <c:pt idx="81">
                  <c:v>302.2</c:v>
                </c:pt>
                <c:pt idx="82">
                  <c:v>45.1</c:v>
                </c:pt>
                <c:pt idx="83">
                  <c:v>215.8</c:v>
                </c:pt>
                <c:pt idx="84">
                  <c:v>175</c:v>
                </c:pt>
                <c:pt idx="87">
                  <c:v>8.6</c:v>
                </c:pt>
                <c:pt idx="91">
                  <c:v>16.2</c:v>
                </c:pt>
                <c:pt idx="94">
                  <c:v>132</c:v>
                </c:pt>
              </c:numCache>
            </c:numRef>
          </c:yVal>
          <c:smooth val="0"/>
          <c:extLst>
            <c:ext xmlns:c16="http://schemas.microsoft.com/office/drawing/2014/chart" uri="{C3380CC4-5D6E-409C-BE32-E72D297353CC}">
              <c16:uniqueId val="{00000003-FE94-0D49-8B74-D7972D564E78}"/>
            </c:ext>
          </c:extLst>
        </c:ser>
        <c:ser>
          <c:idx val="2"/>
          <c:order val="2"/>
          <c:spPr>
            <a:ln w="1905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power"/>
            <c:dispRSqr val="0"/>
            <c:dispEq val="0"/>
          </c:trendline>
          <c:xVal>
            <c:numRef>
              <c:f>'Old Data Sheet'!$X$3:$X$102</c:f>
              <c:numCache>
                <c:formatCode>#,##0</c:formatCode>
                <c:ptCount val="100"/>
                <c:pt idx="0">
                  <c:v>7000</c:v>
                </c:pt>
                <c:pt idx="1">
                  <c:v>750000</c:v>
                </c:pt>
                <c:pt idx="2">
                  <c:v>750000</c:v>
                </c:pt>
                <c:pt idx="3">
                  <c:v>61000</c:v>
                </c:pt>
                <c:pt idx="4">
                  <c:v>1600</c:v>
                </c:pt>
                <c:pt idx="5">
                  <c:v>164500</c:v>
                </c:pt>
                <c:pt idx="6">
                  <c:v>215000</c:v>
                </c:pt>
                <c:pt idx="7">
                  <c:v>21667</c:v>
                </c:pt>
                <c:pt idx="8" formatCode="General">
                  <c:v>728</c:v>
                </c:pt>
                <c:pt idx="9">
                  <c:v>2643</c:v>
                </c:pt>
                <c:pt idx="10">
                  <c:v>5735</c:v>
                </c:pt>
                <c:pt idx="11" formatCode="General">
                  <c:v>64.8</c:v>
                </c:pt>
                <c:pt idx="12">
                  <c:v>61000</c:v>
                </c:pt>
                <c:pt idx="13">
                  <c:v>4175</c:v>
                </c:pt>
                <c:pt idx="14" formatCode="General">
                  <c:v>105</c:v>
                </c:pt>
                <c:pt idx="15">
                  <c:v>164500</c:v>
                </c:pt>
                <c:pt idx="16">
                  <c:v>6500</c:v>
                </c:pt>
                <c:pt idx="17">
                  <c:v>17000</c:v>
                </c:pt>
                <c:pt idx="18">
                  <c:v>102500</c:v>
                </c:pt>
                <c:pt idx="19">
                  <c:v>45.2</c:v>
                </c:pt>
                <c:pt idx="20">
                  <c:v>4500</c:v>
                </c:pt>
                <c:pt idx="21">
                  <c:v>413</c:v>
                </c:pt>
                <c:pt idx="22">
                  <c:v>215000</c:v>
                </c:pt>
                <c:pt idx="23">
                  <c:v>215000</c:v>
                </c:pt>
                <c:pt idx="24">
                  <c:v>2643</c:v>
                </c:pt>
                <c:pt idx="25">
                  <c:v>5735</c:v>
                </c:pt>
                <c:pt idx="26">
                  <c:v>5000</c:v>
                </c:pt>
                <c:pt idx="27">
                  <c:v>139842</c:v>
                </c:pt>
                <c:pt idx="28" formatCode="General">
                  <c:v>64.8</c:v>
                </c:pt>
                <c:pt idx="29">
                  <c:v>2643</c:v>
                </c:pt>
                <c:pt idx="30">
                  <c:v>5735</c:v>
                </c:pt>
                <c:pt idx="31">
                  <c:v>5000</c:v>
                </c:pt>
                <c:pt idx="32">
                  <c:v>139842</c:v>
                </c:pt>
                <c:pt idx="33" formatCode="General">
                  <c:v>64.8</c:v>
                </c:pt>
                <c:pt idx="34">
                  <c:v>5000</c:v>
                </c:pt>
                <c:pt idx="35">
                  <c:v>2643</c:v>
                </c:pt>
                <c:pt idx="36">
                  <c:v>5735</c:v>
                </c:pt>
                <c:pt idx="37">
                  <c:v>139842</c:v>
                </c:pt>
                <c:pt idx="38" formatCode="General">
                  <c:v>64.8</c:v>
                </c:pt>
                <c:pt idx="39">
                  <c:v>119700</c:v>
                </c:pt>
                <c:pt idx="40">
                  <c:v>119700</c:v>
                </c:pt>
                <c:pt idx="41">
                  <c:v>1500</c:v>
                </c:pt>
                <c:pt idx="42">
                  <c:v>10650</c:v>
                </c:pt>
                <c:pt idx="43">
                  <c:v>1602330</c:v>
                </c:pt>
                <c:pt idx="44">
                  <c:v>20200</c:v>
                </c:pt>
                <c:pt idx="45">
                  <c:v>20.87</c:v>
                </c:pt>
                <c:pt idx="46">
                  <c:v>30</c:v>
                </c:pt>
                <c:pt idx="47">
                  <c:v>37</c:v>
                </c:pt>
                <c:pt idx="48" formatCode="General">
                  <c:v>21</c:v>
                </c:pt>
                <c:pt idx="49">
                  <c:v>3178000</c:v>
                </c:pt>
                <c:pt idx="50">
                  <c:v>3178000</c:v>
                </c:pt>
                <c:pt idx="51">
                  <c:v>4175</c:v>
                </c:pt>
                <c:pt idx="52">
                  <c:v>5200</c:v>
                </c:pt>
                <c:pt idx="53">
                  <c:v>164500</c:v>
                </c:pt>
                <c:pt idx="54">
                  <c:v>215000</c:v>
                </c:pt>
                <c:pt idx="55">
                  <c:v>4132</c:v>
                </c:pt>
                <c:pt idx="56">
                  <c:v>45.2</c:v>
                </c:pt>
                <c:pt idx="57" formatCode="General">
                  <c:v>412.5</c:v>
                </c:pt>
                <c:pt idx="58">
                  <c:v>200000</c:v>
                </c:pt>
                <c:pt idx="59" formatCode="General">
                  <c:v>11950</c:v>
                </c:pt>
                <c:pt idx="60">
                  <c:v>200000</c:v>
                </c:pt>
                <c:pt idx="61">
                  <c:v>87000</c:v>
                </c:pt>
                <c:pt idx="62">
                  <c:v>26500</c:v>
                </c:pt>
                <c:pt idx="63">
                  <c:v>17400</c:v>
                </c:pt>
                <c:pt idx="64">
                  <c:v>1100000</c:v>
                </c:pt>
                <c:pt idx="65">
                  <c:v>1300</c:v>
                </c:pt>
                <c:pt idx="66">
                  <c:v>700000</c:v>
                </c:pt>
                <c:pt idx="67">
                  <c:v>81150</c:v>
                </c:pt>
                <c:pt idx="68">
                  <c:v>63000</c:v>
                </c:pt>
                <c:pt idx="69" formatCode="General">
                  <c:v>3940034</c:v>
                </c:pt>
                <c:pt idx="70" formatCode="General">
                  <c:v>2800</c:v>
                </c:pt>
                <c:pt idx="71">
                  <c:v>215000</c:v>
                </c:pt>
                <c:pt idx="72">
                  <c:v>164500</c:v>
                </c:pt>
                <c:pt idx="73">
                  <c:v>139842</c:v>
                </c:pt>
                <c:pt idx="74">
                  <c:v>1332</c:v>
                </c:pt>
                <c:pt idx="75">
                  <c:v>800000</c:v>
                </c:pt>
                <c:pt idx="76">
                  <c:v>315000</c:v>
                </c:pt>
                <c:pt idx="77" formatCode="#,##0.00">
                  <c:v>38446.1</c:v>
                </c:pt>
                <c:pt idx="78">
                  <c:v>3900</c:v>
                </c:pt>
                <c:pt idx="79">
                  <c:v>100000</c:v>
                </c:pt>
                <c:pt idx="80">
                  <c:v>1021</c:v>
                </c:pt>
                <c:pt idx="81">
                  <c:v>19500</c:v>
                </c:pt>
                <c:pt idx="82">
                  <c:v>103750</c:v>
                </c:pt>
                <c:pt idx="83" formatCode="General">
                  <c:v>22983.200000000001</c:v>
                </c:pt>
                <c:pt idx="84">
                  <c:v>776</c:v>
                </c:pt>
                <c:pt idx="85">
                  <c:v>12000</c:v>
                </c:pt>
                <c:pt idx="86">
                  <c:v>117500</c:v>
                </c:pt>
                <c:pt idx="87">
                  <c:v>2175000</c:v>
                </c:pt>
                <c:pt idx="88">
                  <c:v>18000</c:v>
                </c:pt>
                <c:pt idx="89">
                  <c:v>45000</c:v>
                </c:pt>
                <c:pt idx="90">
                  <c:v>444900</c:v>
                </c:pt>
                <c:pt idx="91">
                  <c:v>384000</c:v>
                </c:pt>
                <c:pt idx="92">
                  <c:v>46000</c:v>
                </c:pt>
                <c:pt idx="93">
                  <c:v>43000</c:v>
                </c:pt>
                <c:pt idx="94">
                  <c:v>3500</c:v>
                </c:pt>
                <c:pt idx="95" formatCode="General">
                  <c:v>235</c:v>
                </c:pt>
                <c:pt idx="96">
                  <c:v>177500</c:v>
                </c:pt>
                <c:pt idx="97">
                  <c:v>101250</c:v>
                </c:pt>
                <c:pt idx="98">
                  <c:v>101250</c:v>
                </c:pt>
                <c:pt idx="99">
                  <c:v>277500</c:v>
                </c:pt>
              </c:numCache>
            </c:numRef>
          </c:xVal>
          <c:yVal>
            <c:numRef>
              <c:f>'Old Data Sheet'!$H$3:$H$102</c:f>
              <c:numCache>
                <c:formatCode>General</c:formatCode>
                <c:ptCount val="100"/>
                <c:pt idx="0">
                  <c:v>0</c:v>
                </c:pt>
                <c:pt idx="2">
                  <c:v>96.4</c:v>
                </c:pt>
                <c:pt idx="3">
                  <c:v>124</c:v>
                </c:pt>
                <c:pt idx="5">
                  <c:v>530</c:v>
                </c:pt>
                <c:pt idx="6">
                  <c:v>43.5</c:v>
                </c:pt>
                <c:pt idx="12">
                  <c:v>316</c:v>
                </c:pt>
                <c:pt idx="13">
                  <c:v>54.6</c:v>
                </c:pt>
                <c:pt idx="14">
                  <c:v>204.55</c:v>
                </c:pt>
                <c:pt idx="15">
                  <c:v>1050</c:v>
                </c:pt>
                <c:pt idx="16">
                  <c:v>84.5</c:v>
                </c:pt>
                <c:pt idx="17">
                  <c:v>181.5</c:v>
                </c:pt>
                <c:pt idx="18">
                  <c:v>130.333</c:v>
                </c:pt>
                <c:pt idx="19">
                  <c:v>1077.33</c:v>
                </c:pt>
                <c:pt idx="21">
                  <c:v>46.314999999999998</c:v>
                </c:pt>
                <c:pt idx="22">
                  <c:v>147.15</c:v>
                </c:pt>
                <c:pt idx="23">
                  <c:v>27</c:v>
                </c:pt>
                <c:pt idx="24">
                  <c:v>165</c:v>
                </c:pt>
                <c:pt idx="25">
                  <c:v>3125</c:v>
                </c:pt>
                <c:pt idx="26">
                  <c:v>917.5</c:v>
                </c:pt>
                <c:pt idx="27">
                  <c:v>620</c:v>
                </c:pt>
                <c:pt idx="28">
                  <c:v>200</c:v>
                </c:pt>
                <c:pt idx="29">
                  <c:v>935</c:v>
                </c:pt>
                <c:pt idx="30">
                  <c:v>1120</c:v>
                </c:pt>
                <c:pt idx="31">
                  <c:v>1270</c:v>
                </c:pt>
                <c:pt idx="32">
                  <c:v>450</c:v>
                </c:pt>
                <c:pt idx="33">
                  <c:v>120</c:v>
                </c:pt>
                <c:pt idx="39">
                  <c:v>101.455</c:v>
                </c:pt>
                <c:pt idx="40">
                  <c:v>101.44499999999999</c:v>
                </c:pt>
                <c:pt idx="42">
                  <c:v>1711.15</c:v>
                </c:pt>
                <c:pt idx="44">
                  <c:v>35.9</c:v>
                </c:pt>
                <c:pt idx="50">
                  <c:v>126.7</c:v>
                </c:pt>
                <c:pt idx="51">
                  <c:v>66.599999999999994</c:v>
                </c:pt>
                <c:pt idx="52">
                  <c:v>695</c:v>
                </c:pt>
                <c:pt idx="53">
                  <c:v>435</c:v>
                </c:pt>
                <c:pt idx="54">
                  <c:v>40.700000000000003</c:v>
                </c:pt>
                <c:pt idx="55">
                  <c:v>475</c:v>
                </c:pt>
                <c:pt idx="56">
                  <c:v>3524.28</c:v>
                </c:pt>
                <c:pt idx="60">
                  <c:v>26.03</c:v>
                </c:pt>
                <c:pt idx="61">
                  <c:v>67.5</c:v>
                </c:pt>
                <c:pt idx="62">
                  <c:v>267.75</c:v>
                </c:pt>
                <c:pt idx="66">
                  <c:v>40.19</c:v>
                </c:pt>
                <c:pt idx="69">
                  <c:v>332</c:v>
                </c:pt>
                <c:pt idx="71">
                  <c:v>109.05</c:v>
                </c:pt>
                <c:pt idx="72">
                  <c:v>670</c:v>
                </c:pt>
                <c:pt idx="74">
                  <c:v>1088.4000000000001</c:v>
                </c:pt>
                <c:pt idx="75">
                  <c:v>88.4833</c:v>
                </c:pt>
                <c:pt idx="76">
                  <c:v>168.434</c:v>
                </c:pt>
                <c:pt idx="78">
                  <c:v>568.29999999999995</c:v>
                </c:pt>
                <c:pt idx="79">
                  <c:v>112.8</c:v>
                </c:pt>
                <c:pt idx="80">
                  <c:v>272</c:v>
                </c:pt>
                <c:pt idx="81">
                  <c:v>551</c:v>
                </c:pt>
                <c:pt idx="82">
                  <c:v>125.80000000000001</c:v>
                </c:pt>
                <c:pt idx="83">
                  <c:v>528.35</c:v>
                </c:pt>
                <c:pt idx="84">
                  <c:v>285.2</c:v>
                </c:pt>
                <c:pt idx="87">
                  <c:v>12.7</c:v>
                </c:pt>
                <c:pt idx="90">
                  <c:v>24.02</c:v>
                </c:pt>
                <c:pt idx="97">
                  <c:v>60.66</c:v>
                </c:pt>
                <c:pt idx="98">
                  <c:v>41.3</c:v>
                </c:pt>
              </c:numCache>
            </c:numRef>
          </c:yVal>
          <c:smooth val="0"/>
          <c:extLst>
            <c:ext xmlns:c16="http://schemas.microsoft.com/office/drawing/2014/chart" uri="{C3380CC4-5D6E-409C-BE32-E72D297353CC}">
              <c16:uniqueId val="{00000005-FE94-0D49-8B74-D7972D564E78}"/>
            </c:ext>
          </c:extLst>
        </c:ser>
        <c:dLbls>
          <c:showLegendKey val="0"/>
          <c:showVal val="0"/>
          <c:showCatName val="0"/>
          <c:showSerName val="0"/>
          <c:showPercent val="0"/>
          <c:showBubbleSize val="0"/>
        </c:dLbls>
        <c:axId val="1130494384"/>
        <c:axId val="1145909232"/>
      </c:scatterChart>
      <c:valAx>
        <c:axId val="1130494384"/>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Body</a:t>
                </a:r>
                <a:r>
                  <a:rPr lang="en-US" baseline="0"/>
                  <a:t> Mass (g)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909232"/>
        <c:crosses val="autoZero"/>
        <c:crossBetween val="midCat"/>
      </c:valAx>
      <c:valAx>
        <c:axId val="1145909232"/>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FGM Concentrations (ng/g)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4943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Cortisol (Series 1), Corticosterone (Series 2) and Total FGMs (Series 3) vs. MSMR</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power"/>
            <c:dispRSqr val="0"/>
            <c:dispEq val="0"/>
          </c:trendline>
          <c:xVal>
            <c:numRef>
              <c:f>'Old Data Sheet'!$Y$3:$Y$102</c:f>
              <c:numCache>
                <c:formatCode>General</c:formatCode>
                <c:ptCount val="100"/>
                <c:pt idx="1">
                  <c:v>8.8400000000000002E-4</c:v>
                </c:pt>
                <c:pt idx="2">
                  <c:v>8.8400000000000002E-4</c:v>
                </c:pt>
                <c:pt idx="4">
                  <c:v>4.1840000000000002E-3</c:v>
                </c:pt>
                <c:pt idx="5">
                  <c:v>1.1709999999999999E-3</c:v>
                </c:pt>
                <c:pt idx="7">
                  <c:v>2.1559999999999999E-3</c:v>
                </c:pt>
                <c:pt idx="8">
                  <c:v>3.333E-3</c:v>
                </c:pt>
                <c:pt idx="13">
                  <c:v>2.8010000000000001E-3</c:v>
                </c:pt>
                <c:pt idx="14">
                  <c:v>6.3769999999999999E-3</c:v>
                </c:pt>
                <c:pt idx="15">
                  <c:v>1.1709999999999999E-3</c:v>
                </c:pt>
                <c:pt idx="16">
                  <c:v>1.562E-3</c:v>
                </c:pt>
                <c:pt idx="19">
                  <c:v>6.143E-3</c:v>
                </c:pt>
                <c:pt idx="20">
                  <c:v>1.433E-3</c:v>
                </c:pt>
                <c:pt idx="21">
                  <c:v>4.4999999999999997E-3</c:v>
                </c:pt>
                <c:pt idx="26">
                  <c:v>1.116E-3</c:v>
                </c:pt>
                <c:pt idx="31">
                  <c:v>1.116E-3</c:v>
                </c:pt>
                <c:pt idx="34">
                  <c:v>1.116E-3</c:v>
                </c:pt>
                <c:pt idx="39">
                  <c:v>9.7099999999999997E-4</c:v>
                </c:pt>
                <c:pt idx="40">
                  <c:v>9.7099999999999997E-4</c:v>
                </c:pt>
                <c:pt idx="41">
                  <c:v>1.01E-3</c:v>
                </c:pt>
                <c:pt idx="44">
                  <c:v>1.6180000000000001E-3</c:v>
                </c:pt>
                <c:pt idx="46">
                  <c:v>7.9799999999999992E-3</c:v>
                </c:pt>
                <c:pt idx="47">
                  <c:v>4.1840000000000002E-3</c:v>
                </c:pt>
                <c:pt idx="48">
                  <c:v>1.0683E-2</c:v>
                </c:pt>
                <c:pt idx="49">
                  <c:v>6.3599999999999996E-4</c:v>
                </c:pt>
                <c:pt idx="50">
                  <c:v>6.3599999999999996E-4</c:v>
                </c:pt>
                <c:pt idx="51">
                  <c:v>2.8010000000000001E-3</c:v>
                </c:pt>
                <c:pt idx="52">
                  <c:v>2.1289999999999998E-3</c:v>
                </c:pt>
                <c:pt idx="53">
                  <c:v>1.1709999999999999E-3</c:v>
                </c:pt>
                <c:pt idx="55">
                  <c:v>2.9979999999999998E-3</c:v>
                </c:pt>
                <c:pt idx="56">
                  <c:v>6.143E-3</c:v>
                </c:pt>
                <c:pt idx="58">
                  <c:v>1.678E-3</c:v>
                </c:pt>
                <c:pt idx="60">
                  <c:v>1.678E-3</c:v>
                </c:pt>
                <c:pt idx="61">
                  <c:v>1.9959999999999999E-3</c:v>
                </c:pt>
                <c:pt idx="62">
                  <c:v>3.7729999999999999E-3</c:v>
                </c:pt>
                <c:pt idx="65">
                  <c:v>2.9889999999999999E-3</c:v>
                </c:pt>
                <c:pt idx="67">
                  <c:v>1.238E-3</c:v>
                </c:pt>
                <c:pt idx="69">
                  <c:v>8.9999999999999998E-4</c:v>
                </c:pt>
                <c:pt idx="72">
                  <c:v>1.1709999999999999E-3</c:v>
                </c:pt>
                <c:pt idx="75">
                  <c:v>8.7399999999999999E-4</c:v>
                </c:pt>
                <c:pt idx="77">
                  <c:v>1.6069999999999999E-3</c:v>
                </c:pt>
                <c:pt idx="79">
                  <c:v>7.0299999999999996E-4</c:v>
                </c:pt>
                <c:pt idx="84">
                  <c:v>2.0339999999999998E-3</c:v>
                </c:pt>
                <c:pt idx="88">
                  <c:v>1.665E-3</c:v>
                </c:pt>
                <c:pt idx="89">
                  <c:v>2.5999999999999999E-3</c:v>
                </c:pt>
                <c:pt idx="90">
                  <c:v>1.4E-3</c:v>
                </c:pt>
                <c:pt idx="94">
                  <c:v>2.0079999999999998E-3</c:v>
                </c:pt>
                <c:pt idx="95">
                  <c:v>4.7999999999999996E-3</c:v>
                </c:pt>
                <c:pt idx="97">
                  <c:v>1.408E-3</c:v>
                </c:pt>
                <c:pt idx="98">
                  <c:v>1.408E-3</c:v>
                </c:pt>
              </c:numCache>
            </c:numRef>
          </c:xVal>
          <c:yVal>
            <c:numRef>
              <c:f>'Old Data Sheet'!$C$3:$C$102</c:f>
              <c:numCache>
                <c:formatCode>General</c:formatCode>
                <c:ptCount val="100"/>
                <c:pt idx="1">
                  <c:v>20.6</c:v>
                </c:pt>
                <c:pt idx="4">
                  <c:v>1054</c:v>
                </c:pt>
                <c:pt idx="7">
                  <c:v>60.92</c:v>
                </c:pt>
                <c:pt idx="8">
                  <c:v>349.23</c:v>
                </c:pt>
                <c:pt idx="9">
                  <c:v>7860</c:v>
                </c:pt>
                <c:pt idx="10">
                  <c:v>35.5</c:v>
                </c:pt>
                <c:pt idx="11">
                  <c:v>420</c:v>
                </c:pt>
                <c:pt idx="20">
                  <c:v>2625</c:v>
                </c:pt>
                <c:pt idx="34">
                  <c:v>21</c:v>
                </c:pt>
                <c:pt idx="41">
                  <c:v>642.1</c:v>
                </c:pt>
                <c:pt idx="43">
                  <c:v>9.66</c:v>
                </c:pt>
                <c:pt idx="49">
                  <c:v>49.643599999999999</c:v>
                </c:pt>
                <c:pt idx="57">
                  <c:v>263.02999999999997</c:v>
                </c:pt>
                <c:pt idx="58">
                  <c:v>0.72850000000000004</c:v>
                </c:pt>
                <c:pt idx="59">
                  <c:v>51.505000000000003</c:v>
                </c:pt>
                <c:pt idx="64">
                  <c:v>45.029000000000003</c:v>
                </c:pt>
                <c:pt idx="65">
                  <c:v>25.683</c:v>
                </c:pt>
                <c:pt idx="67">
                  <c:v>307.8</c:v>
                </c:pt>
                <c:pt idx="68">
                  <c:v>43.75</c:v>
                </c:pt>
                <c:pt idx="70">
                  <c:v>4.375</c:v>
                </c:pt>
                <c:pt idx="71">
                  <c:v>6.3</c:v>
                </c:pt>
                <c:pt idx="72">
                  <c:v>30</c:v>
                </c:pt>
                <c:pt idx="73">
                  <c:v>20</c:v>
                </c:pt>
                <c:pt idx="74">
                  <c:v>58.4</c:v>
                </c:pt>
                <c:pt idx="75">
                  <c:v>23.725000000000001</c:v>
                </c:pt>
                <c:pt idx="76">
                  <c:v>64.122</c:v>
                </c:pt>
                <c:pt idx="77">
                  <c:v>618.5</c:v>
                </c:pt>
                <c:pt idx="78">
                  <c:v>213.6</c:v>
                </c:pt>
                <c:pt idx="79">
                  <c:v>48.7</c:v>
                </c:pt>
                <c:pt idx="80">
                  <c:v>170.1</c:v>
                </c:pt>
                <c:pt idx="81">
                  <c:v>248.8</c:v>
                </c:pt>
                <c:pt idx="82">
                  <c:v>80.7</c:v>
                </c:pt>
                <c:pt idx="83">
                  <c:v>312.55</c:v>
                </c:pt>
                <c:pt idx="84">
                  <c:v>110.2</c:v>
                </c:pt>
                <c:pt idx="85">
                  <c:v>47.548299999999998</c:v>
                </c:pt>
                <c:pt idx="86">
                  <c:v>114.66</c:v>
                </c:pt>
                <c:pt idx="87">
                  <c:v>4.0999999999999996</c:v>
                </c:pt>
                <c:pt idx="88">
                  <c:v>63.3</c:v>
                </c:pt>
                <c:pt idx="89">
                  <c:v>3.2</c:v>
                </c:pt>
                <c:pt idx="92">
                  <c:v>97.421999999999997</c:v>
                </c:pt>
                <c:pt idx="93">
                  <c:v>45.469000000000001</c:v>
                </c:pt>
                <c:pt idx="95">
                  <c:v>138.59800000000001</c:v>
                </c:pt>
                <c:pt idx="96">
                  <c:v>83.043000000000006</c:v>
                </c:pt>
                <c:pt idx="99">
                  <c:v>19.042999999999999</c:v>
                </c:pt>
              </c:numCache>
            </c:numRef>
          </c:yVal>
          <c:smooth val="0"/>
          <c:extLst>
            <c:ext xmlns:c16="http://schemas.microsoft.com/office/drawing/2014/chart" uri="{C3380CC4-5D6E-409C-BE32-E72D297353CC}">
              <c16:uniqueId val="{00000001-A99F-D348-843E-FF9C952046B8}"/>
            </c:ext>
          </c:extLst>
        </c:ser>
        <c:ser>
          <c:idx val="1"/>
          <c:order val="1"/>
          <c:spPr>
            <a:ln w="1905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power"/>
            <c:dispRSqr val="0"/>
            <c:dispEq val="0"/>
          </c:trendline>
          <c:xVal>
            <c:numRef>
              <c:f>'Old Data Sheet'!$Y$3:$Y$102</c:f>
              <c:numCache>
                <c:formatCode>General</c:formatCode>
                <c:ptCount val="100"/>
                <c:pt idx="1">
                  <c:v>8.8400000000000002E-4</c:v>
                </c:pt>
                <c:pt idx="2">
                  <c:v>8.8400000000000002E-4</c:v>
                </c:pt>
                <c:pt idx="4">
                  <c:v>4.1840000000000002E-3</c:v>
                </c:pt>
                <c:pt idx="5">
                  <c:v>1.1709999999999999E-3</c:v>
                </c:pt>
                <c:pt idx="7">
                  <c:v>2.1559999999999999E-3</c:v>
                </c:pt>
                <c:pt idx="8">
                  <c:v>3.333E-3</c:v>
                </c:pt>
                <c:pt idx="13">
                  <c:v>2.8010000000000001E-3</c:v>
                </c:pt>
                <c:pt idx="14">
                  <c:v>6.3769999999999999E-3</c:v>
                </c:pt>
                <c:pt idx="15">
                  <c:v>1.1709999999999999E-3</c:v>
                </c:pt>
                <c:pt idx="16">
                  <c:v>1.562E-3</c:v>
                </c:pt>
                <c:pt idx="19">
                  <c:v>6.143E-3</c:v>
                </c:pt>
                <c:pt idx="20">
                  <c:v>1.433E-3</c:v>
                </c:pt>
                <c:pt idx="21">
                  <c:v>4.4999999999999997E-3</c:v>
                </c:pt>
                <c:pt idx="26">
                  <c:v>1.116E-3</c:v>
                </c:pt>
                <c:pt idx="31">
                  <c:v>1.116E-3</c:v>
                </c:pt>
                <c:pt idx="34">
                  <c:v>1.116E-3</c:v>
                </c:pt>
                <c:pt idx="39">
                  <c:v>9.7099999999999997E-4</c:v>
                </c:pt>
                <c:pt idx="40">
                  <c:v>9.7099999999999997E-4</c:v>
                </c:pt>
                <c:pt idx="41">
                  <c:v>1.01E-3</c:v>
                </c:pt>
                <c:pt idx="44">
                  <c:v>1.6180000000000001E-3</c:v>
                </c:pt>
                <c:pt idx="46">
                  <c:v>7.9799999999999992E-3</c:v>
                </c:pt>
                <c:pt idx="47">
                  <c:v>4.1840000000000002E-3</c:v>
                </c:pt>
                <c:pt idx="48">
                  <c:v>1.0683E-2</c:v>
                </c:pt>
                <c:pt idx="49">
                  <c:v>6.3599999999999996E-4</c:v>
                </c:pt>
                <c:pt idx="50">
                  <c:v>6.3599999999999996E-4</c:v>
                </c:pt>
                <c:pt idx="51">
                  <c:v>2.8010000000000001E-3</c:v>
                </c:pt>
                <c:pt idx="52">
                  <c:v>2.1289999999999998E-3</c:v>
                </c:pt>
                <c:pt idx="53">
                  <c:v>1.1709999999999999E-3</c:v>
                </c:pt>
                <c:pt idx="55">
                  <c:v>2.9979999999999998E-3</c:v>
                </c:pt>
                <c:pt idx="56">
                  <c:v>6.143E-3</c:v>
                </c:pt>
                <c:pt idx="58">
                  <c:v>1.678E-3</c:v>
                </c:pt>
                <c:pt idx="60">
                  <c:v>1.678E-3</c:v>
                </c:pt>
                <c:pt idx="61">
                  <c:v>1.9959999999999999E-3</c:v>
                </c:pt>
                <c:pt idx="62">
                  <c:v>3.7729999999999999E-3</c:v>
                </c:pt>
                <c:pt idx="65">
                  <c:v>2.9889999999999999E-3</c:v>
                </c:pt>
                <c:pt idx="67">
                  <c:v>1.238E-3</c:v>
                </c:pt>
                <c:pt idx="69">
                  <c:v>8.9999999999999998E-4</c:v>
                </c:pt>
                <c:pt idx="72">
                  <c:v>1.1709999999999999E-3</c:v>
                </c:pt>
                <c:pt idx="75">
                  <c:v>8.7399999999999999E-4</c:v>
                </c:pt>
                <c:pt idx="77">
                  <c:v>1.6069999999999999E-3</c:v>
                </c:pt>
                <c:pt idx="79">
                  <c:v>7.0299999999999996E-4</c:v>
                </c:pt>
                <c:pt idx="84">
                  <c:v>2.0339999999999998E-3</c:v>
                </c:pt>
                <c:pt idx="88">
                  <c:v>1.665E-3</c:v>
                </c:pt>
                <c:pt idx="89">
                  <c:v>2.5999999999999999E-3</c:v>
                </c:pt>
                <c:pt idx="90">
                  <c:v>1.4E-3</c:v>
                </c:pt>
                <c:pt idx="94">
                  <c:v>2.0079999999999998E-3</c:v>
                </c:pt>
                <c:pt idx="95">
                  <c:v>4.7999999999999996E-3</c:v>
                </c:pt>
                <c:pt idx="97">
                  <c:v>1.408E-3</c:v>
                </c:pt>
                <c:pt idx="98">
                  <c:v>1.408E-3</c:v>
                </c:pt>
              </c:numCache>
            </c:numRef>
          </c:xVal>
          <c:yVal>
            <c:numRef>
              <c:f>'Old Data Sheet'!$D$3:$D$102</c:f>
              <c:numCache>
                <c:formatCode>General</c:formatCode>
                <c:ptCount val="100"/>
                <c:pt idx="35">
                  <c:v>1240</c:v>
                </c:pt>
                <c:pt idx="36">
                  <c:v>25</c:v>
                </c:pt>
                <c:pt idx="37">
                  <c:v>60</c:v>
                </c:pt>
                <c:pt idx="38">
                  <c:v>90</c:v>
                </c:pt>
                <c:pt idx="45">
                  <c:v>1743.1</c:v>
                </c:pt>
                <c:pt idx="46">
                  <c:v>2842.33</c:v>
                </c:pt>
                <c:pt idx="47">
                  <c:v>1711.28</c:v>
                </c:pt>
                <c:pt idx="48">
                  <c:v>1436.55</c:v>
                </c:pt>
                <c:pt idx="58">
                  <c:v>5.1319999999999997</c:v>
                </c:pt>
                <c:pt idx="71">
                  <c:v>102.75</c:v>
                </c:pt>
                <c:pt idx="72">
                  <c:v>640</c:v>
                </c:pt>
                <c:pt idx="74">
                  <c:v>1030</c:v>
                </c:pt>
                <c:pt idx="75">
                  <c:v>64.758300000000006</c:v>
                </c:pt>
                <c:pt idx="76">
                  <c:v>104.312</c:v>
                </c:pt>
                <c:pt idx="77">
                  <c:v>232.9</c:v>
                </c:pt>
                <c:pt idx="78">
                  <c:v>354.7</c:v>
                </c:pt>
                <c:pt idx="79">
                  <c:v>64.099999999999994</c:v>
                </c:pt>
                <c:pt idx="80">
                  <c:v>101.9</c:v>
                </c:pt>
                <c:pt idx="81">
                  <c:v>302.2</c:v>
                </c:pt>
                <c:pt idx="82">
                  <c:v>45.1</c:v>
                </c:pt>
                <c:pt idx="83">
                  <c:v>215.8</c:v>
                </c:pt>
                <c:pt idx="84">
                  <c:v>175</c:v>
                </c:pt>
                <c:pt idx="87">
                  <c:v>8.6</c:v>
                </c:pt>
                <c:pt idx="91">
                  <c:v>16.2</c:v>
                </c:pt>
                <c:pt idx="94">
                  <c:v>132</c:v>
                </c:pt>
              </c:numCache>
            </c:numRef>
          </c:yVal>
          <c:smooth val="0"/>
          <c:extLst>
            <c:ext xmlns:c16="http://schemas.microsoft.com/office/drawing/2014/chart" uri="{C3380CC4-5D6E-409C-BE32-E72D297353CC}">
              <c16:uniqueId val="{00000003-A99F-D348-843E-FF9C952046B8}"/>
            </c:ext>
          </c:extLst>
        </c:ser>
        <c:ser>
          <c:idx val="2"/>
          <c:order val="2"/>
          <c:spPr>
            <a:ln w="1905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power"/>
            <c:dispRSqr val="0"/>
            <c:dispEq val="0"/>
          </c:trendline>
          <c:xVal>
            <c:numRef>
              <c:f>'Old Data Sheet'!$Y$3:$Y$102</c:f>
              <c:numCache>
                <c:formatCode>General</c:formatCode>
                <c:ptCount val="100"/>
                <c:pt idx="1">
                  <c:v>8.8400000000000002E-4</c:v>
                </c:pt>
                <c:pt idx="2">
                  <c:v>8.8400000000000002E-4</c:v>
                </c:pt>
                <c:pt idx="4">
                  <c:v>4.1840000000000002E-3</c:v>
                </c:pt>
                <c:pt idx="5">
                  <c:v>1.1709999999999999E-3</c:v>
                </c:pt>
                <c:pt idx="7">
                  <c:v>2.1559999999999999E-3</c:v>
                </c:pt>
                <c:pt idx="8">
                  <c:v>3.333E-3</c:v>
                </c:pt>
                <c:pt idx="13">
                  <c:v>2.8010000000000001E-3</c:v>
                </c:pt>
                <c:pt idx="14">
                  <c:v>6.3769999999999999E-3</c:v>
                </c:pt>
                <c:pt idx="15">
                  <c:v>1.1709999999999999E-3</c:v>
                </c:pt>
                <c:pt idx="16">
                  <c:v>1.562E-3</c:v>
                </c:pt>
                <c:pt idx="19">
                  <c:v>6.143E-3</c:v>
                </c:pt>
                <c:pt idx="20">
                  <c:v>1.433E-3</c:v>
                </c:pt>
                <c:pt idx="21">
                  <c:v>4.4999999999999997E-3</c:v>
                </c:pt>
                <c:pt idx="26">
                  <c:v>1.116E-3</c:v>
                </c:pt>
                <c:pt idx="31">
                  <c:v>1.116E-3</c:v>
                </c:pt>
                <c:pt idx="34">
                  <c:v>1.116E-3</c:v>
                </c:pt>
                <c:pt idx="39">
                  <c:v>9.7099999999999997E-4</c:v>
                </c:pt>
                <c:pt idx="40">
                  <c:v>9.7099999999999997E-4</c:v>
                </c:pt>
                <c:pt idx="41">
                  <c:v>1.01E-3</c:v>
                </c:pt>
                <c:pt idx="44">
                  <c:v>1.6180000000000001E-3</c:v>
                </c:pt>
                <c:pt idx="46">
                  <c:v>7.9799999999999992E-3</c:v>
                </c:pt>
                <c:pt idx="47">
                  <c:v>4.1840000000000002E-3</c:v>
                </c:pt>
                <c:pt idx="48">
                  <c:v>1.0683E-2</c:v>
                </c:pt>
                <c:pt idx="49">
                  <c:v>6.3599999999999996E-4</c:v>
                </c:pt>
                <c:pt idx="50">
                  <c:v>6.3599999999999996E-4</c:v>
                </c:pt>
                <c:pt idx="51">
                  <c:v>2.8010000000000001E-3</c:v>
                </c:pt>
                <c:pt idx="52">
                  <c:v>2.1289999999999998E-3</c:v>
                </c:pt>
                <c:pt idx="53">
                  <c:v>1.1709999999999999E-3</c:v>
                </c:pt>
                <c:pt idx="55">
                  <c:v>2.9979999999999998E-3</c:v>
                </c:pt>
                <c:pt idx="56">
                  <c:v>6.143E-3</c:v>
                </c:pt>
                <c:pt idx="58">
                  <c:v>1.678E-3</c:v>
                </c:pt>
                <c:pt idx="60">
                  <c:v>1.678E-3</c:v>
                </c:pt>
                <c:pt idx="61">
                  <c:v>1.9959999999999999E-3</c:v>
                </c:pt>
                <c:pt idx="62">
                  <c:v>3.7729999999999999E-3</c:v>
                </c:pt>
                <c:pt idx="65">
                  <c:v>2.9889999999999999E-3</c:v>
                </c:pt>
                <c:pt idx="67">
                  <c:v>1.238E-3</c:v>
                </c:pt>
                <c:pt idx="69">
                  <c:v>8.9999999999999998E-4</c:v>
                </c:pt>
                <c:pt idx="72">
                  <c:v>1.1709999999999999E-3</c:v>
                </c:pt>
                <c:pt idx="75">
                  <c:v>8.7399999999999999E-4</c:v>
                </c:pt>
                <c:pt idx="77">
                  <c:v>1.6069999999999999E-3</c:v>
                </c:pt>
                <c:pt idx="79">
                  <c:v>7.0299999999999996E-4</c:v>
                </c:pt>
                <c:pt idx="84">
                  <c:v>2.0339999999999998E-3</c:v>
                </c:pt>
                <c:pt idx="88">
                  <c:v>1.665E-3</c:v>
                </c:pt>
                <c:pt idx="89">
                  <c:v>2.5999999999999999E-3</c:v>
                </c:pt>
                <c:pt idx="90">
                  <c:v>1.4E-3</c:v>
                </c:pt>
                <c:pt idx="94">
                  <c:v>2.0079999999999998E-3</c:v>
                </c:pt>
                <c:pt idx="95">
                  <c:v>4.7999999999999996E-3</c:v>
                </c:pt>
                <c:pt idx="97">
                  <c:v>1.408E-3</c:v>
                </c:pt>
                <c:pt idx="98">
                  <c:v>1.408E-3</c:v>
                </c:pt>
              </c:numCache>
            </c:numRef>
          </c:xVal>
          <c:yVal>
            <c:numRef>
              <c:f>'Old Data Sheet'!$H$3:$H$102</c:f>
              <c:numCache>
                <c:formatCode>General</c:formatCode>
                <c:ptCount val="100"/>
                <c:pt idx="0">
                  <c:v>0</c:v>
                </c:pt>
                <c:pt idx="2">
                  <c:v>96.4</c:v>
                </c:pt>
                <c:pt idx="3">
                  <c:v>124</c:v>
                </c:pt>
                <c:pt idx="5">
                  <c:v>530</c:v>
                </c:pt>
                <c:pt idx="6">
                  <c:v>43.5</c:v>
                </c:pt>
                <c:pt idx="12">
                  <c:v>316</c:v>
                </c:pt>
                <c:pt idx="13">
                  <c:v>54.6</c:v>
                </c:pt>
                <c:pt idx="14">
                  <c:v>204.55</c:v>
                </c:pt>
                <c:pt idx="15">
                  <c:v>1050</c:v>
                </c:pt>
                <c:pt idx="16">
                  <c:v>84.5</c:v>
                </c:pt>
                <c:pt idx="17">
                  <c:v>181.5</c:v>
                </c:pt>
                <c:pt idx="18">
                  <c:v>130.333</c:v>
                </c:pt>
                <c:pt idx="19">
                  <c:v>1077.33</c:v>
                </c:pt>
                <c:pt idx="21">
                  <c:v>46.314999999999998</c:v>
                </c:pt>
                <c:pt idx="22">
                  <c:v>147.15</c:v>
                </c:pt>
                <c:pt idx="23">
                  <c:v>27</c:v>
                </c:pt>
                <c:pt idx="24">
                  <c:v>165</c:v>
                </c:pt>
                <c:pt idx="25">
                  <c:v>3125</c:v>
                </c:pt>
                <c:pt idx="26">
                  <c:v>917.5</c:v>
                </c:pt>
                <c:pt idx="27">
                  <c:v>620</c:v>
                </c:pt>
                <c:pt idx="28">
                  <c:v>200</c:v>
                </c:pt>
                <c:pt idx="29">
                  <c:v>935</c:v>
                </c:pt>
                <c:pt idx="30">
                  <c:v>1120</c:v>
                </c:pt>
                <c:pt idx="31">
                  <c:v>1270</c:v>
                </c:pt>
                <c:pt idx="32">
                  <c:v>450</c:v>
                </c:pt>
                <c:pt idx="33">
                  <c:v>120</c:v>
                </c:pt>
                <c:pt idx="39">
                  <c:v>101.455</c:v>
                </c:pt>
                <c:pt idx="40">
                  <c:v>101.44499999999999</c:v>
                </c:pt>
                <c:pt idx="42">
                  <c:v>1711.15</c:v>
                </c:pt>
                <c:pt idx="44">
                  <c:v>35.9</c:v>
                </c:pt>
                <c:pt idx="50">
                  <c:v>126.7</c:v>
                </c:pt>
                <c:pt idx="51">
                  <c:v>66.599999999999994</c:v>
                </c:pt>
                <c:pt idx="52">
                  <c:v>695</c:v>
                </c:pt>
                <c:pt idx="53">
                  <c:v>435</c:v>
                </c:pt>
                <c:pt idx="54">
                  <c:v>40.700000000000003</c:v>
                </c:pt>
                <c:pt idx="55">
                  <c:v>475</c:v>
                </c:pt>
                <c:pt idx="56">
                  <c:v>3524.28</c:v>
                </c:pt>
                <c:pt idx="60">
                  <c:v>26.03</c:v>
                </c:pt>
                <c:pt idx="61">
                  <c:v>67.5</c:v>
                </c:pt>
                <c:pt idx="62">
                  <c:v>267.75</c:v>
                </c:pt>
                <c:pt idx="66">
                  <c:v>40.19</c:v>
                </c:pt>
                <c:pt idx="69">
                  <c:v>332</c:v>
                </c:pt>
                <c:pt idx="71">
                  <c:v>109.05</c:v>
                </c:pt>
                <c:pt idx="72">
                  <c:v>670</c:v>
                </c:pt>
                <c:pt idx="74">
                  <c:v>1088.4000000000001</c:v>
                </c:pt>
                <c:pt idx="75">
                  <c:v>88.4833</c:v>
                </c:pt>
                <c:pt idx="76">
                  <c:v>168.434</c:v>
                </c:pt>
                <c:pt idx="78">
                  <c:v>568.29999999999995</c:v>
                </c:pt>
                <c:pt idx="79">
                  <c:v>112.8</c:v>
                </c:pt>
                <c:pt idx="80">
                  <c:v>272</c:v>
                </c:pt>
                <c:pt idx="81">
                  <c:v>551</c:v>
                </c:pt>
                <c:pt idx="82">
                  <c:v>125.80000000000001</c:v>
                </c:pt>
                <c:pt idx="83">
                  <c:v>528.35</c:v>
                </c:pt>
                <c:pt idx="84">
                  <c:v>285.2</c:v>
                </c:pt>
                <c:pt idx="87">
                  <c:v>12.7</c:v>
                </c:pt>
                <c:pt idx="90">
                  <c:v>24.02</c:v>
                </c:pt>
                <c:pt idx="97">
                  <c:v>60.66</c:v>
                </c:pt>
                <c:pt idx="98">
                  <c:v>41.3</c:v>
                </c:pt>
              </c:numCache>
            </c:numRef>
          </c:yVal>
          <c:smooth val="0"/>
          <c:extLst>
            <c:ext xmlns:c16="http://schemas.microsoft.com/office/drawing/2014/chart" uri="{C3380CC4-5D6E-409C-BE32-E72D297353CC}">
              <c16:uniqueId val="{00000005-A99F-D348-843E-FF9C952046B8}"/>
            </c:ext>
          </c:extLst>
        </c:ser>
        <c:dLbls>
          <c:showLegendKey val="0"/>
          <c:showVal val="0"/>
          <c:showCatName val="0"/>
          <c:showSerName val="0"/>
          <c:showPercent val="0"/>
          <c:showBubbleSize val="0"/>
        </c:dLbls>
        <c:axId val="1255721104"/>
        <c:axId val="1255201760"/>
      </c:scatterChart>
      <c:valAx>
        <c:axId val="1255721104"/>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MSMR</a:t>
                </a:r>
                <a:r>
                  <a:rPr lang="en-US" baseline="0"/>
                  <a:t> (W/g)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01760"/>
        <c:crosses val="autoZero"/>
        <c:crossBetween val="midCat"/>
      </c:valAx>
      <c:valAx>
        <c:axId val="1255201760"/>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FGM</a:t>
                </a:r>
                <a:r>
                  <a:rPr lang="en-US" baseline="0"/>
                  <a:t> Concentrations (ng/g)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7211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Cortisol (Series 1), Corticosterone (Series 2) and Total FGMs (Series 3) vs. Maximum Lifespan</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power"/>
            <c:dispRSqr val="0"/>
            <c:dispEq val="0"/>
          </c:trendline>
          <c:xVal>
            <c:numRef>
              <c:f>'Old Data Sheet'!$C$3:$C$102</c:f>
              <c:numCache>
                <c:formatCode>General</c:formatCode>
                <c:ptCount val="100"/>
                <c:pt idx="1">
                  <c:v>20.6</c:v>
                </c:pt>
                <c:pt idx="4">
                  <c:v>1054</c:v>
                </c:pt>
                <c:pt idx="7">
                  <c:v>60.92</c:v>
                </c:pt>
                <c:pt idx="8">
                  <c:v>349.23</c:v>
                </c:pt>
                <c:pt idx="9">
                  <c:v>7860</c:v>
                </c:pt>
                <c:pt idx="10">
                  <c:v>35.5</c:v>
                </c:pt>
                <c:pt idx="11">
                  <c:v>420</c:v>
                </c:pt>
                <c:pt idx="20">
                  <c:v>2625</c:v>
                </c:pt>
                <c:pt idx="34">
                  <c:v>21</c:v>
                </c:pt>
                <c:pt idx="41">
                  <c:v>642.1</c:v>
                </c:pt>
                <c:pt idx="43">
                  <c:v>9.66</c:v>
                </c:pt>
                <c:pt idx="49">
                  <c:v>49.643599999999999</c:v>
                </c:pt>
                <c:pt idx="57">
                  <c:v>263.02999999999997</c:v>
                </c:pt>
                <c:pt idx="58">
                  <c:v>0.72850000000000004</c:v>
                </c:pt>
                <c:pt idx="59">
                  <c:v>51.505000000000003</c:v>
                </c:pt>
                <c:pt idx="64">
                  <c:v>45.029000000000003</c:v>
                </c:pt>
                <c:pt idx="65">
                  <c:v>25.683</c:v>
                </c:pt>
                <c:pt idx="67">
                  <c:v>307.8</c:v>
                </c:pt>
                <c:pt idx="68">
                  <c:v>43.75</c:v>
                </c:pt>
                <c:pt idx="70">
                  <c:v>4.375</c:v>
                </c:pt>
                <c:pt idx="71">
                  <c:v>6.3</c:v>
                </c:pt>
                <c:pt idx="72">
                  <c:v>30</c:v>
                </c:pt>
                <c:pt idx="73">
                  <c:v>20</c:v>
                </c:pt>
                <c:pt idx="74">
                  <c:v>58.4</c:v>
                </c:pt>
                <c:pt idx="75">
                  <c:v>23.725000000000001</c:v>
                </c:pt>
                <c:pt idx="76">
                  <c:v>64.122</c:v>
                </c:pt>
                <c:pt idx="77">
                  <c:v>618.5</c:v>
                </c:pt>
                <c:pt idx="78">
                  <c:v>213.6</c:v>
                </c:pt>
                <c:pt idx="79">
                  <c:v>48.7</c:v>
                </c:pt>
                <c:pt idx="80">
                  <c:v>170.1</c:v>
                </c:pt>
                <c:pt idx="81">
                  <c:v>248.8</c:v>
                </c:pt>
                <c:pt idx="82">
                  <c:v>80.7</c:v>
                </c:pt>
                <c:pt idx="83">
                  <c:v>312.55</c:v>
                </c:pt>
                <c:pt idx="84">
                  <c:v>110.2</c:v>
                </c:pt>
                <c:pt idx="85">
                  <c:v>47.548299999999998</c:v>
                </c:pt>
                <c:pt idx="86">
                  <c:v>114.66</c:v>
                </c:pt>
                <c:pt idx="87">
                  <c:v>4.0999999999999996</c:v>
                </c:pt>
                <c:pt idx="88">
                  <c:v>63.3</c:v>
                </c:pt>
                <c:pt idx="89">
                  <c:v>3.2</c:v>
                </c:pt>
                <c:pt idx="92">
                  <c:v>97.421999999999997</c:v>
                </c:pt>
                <c:pt idx="93">
                  <c:v>45.469000000000001</c:v>
                </c:pt>
                <c:pt idx="95">
                  <c:v>138.59800000000001</c:v>
                </c:pt>
                <c:pt idx="96">
                  <c:v>83.043000000000006</c:v>
                </c:pt>
                <c:pt idx="99">
                  <c:v>19.042999999999999</c:v>
                </c:pt>
              </c:numCache>
            </c:numRef>
          </c:xVal>
          <c:yVal>
            <c:numRef>
              <c:f>'Old Data Sheet'!$W$3:$W$172</c:f>
              <c:numCache>
                <c:formatCode>General</c:formatCode>
                <c:ptCount val="170"/>
                <c:pt idx="1">
                  <c:v>20</c:v>
                </c:pt>
                <c:pt idx="2">
                  <c:v>20</c:v>
                </c:pt>
                <c:pt idx="3">
                  <c:v>20.8</c:v>
                </c:pt>
                <c:pt idx="5">
                  <c:v>24.3</c:v>
                </c:pt>
                <c:pt idx="6">
                  <c:v>42.3</c:v>
                </c:pt>
                <c:pt idx="7">
                  <c:v>17.5</c:v>
                </c:pt>
                <c:pt idx="8">
                  <c:v>12</c:v>
                </c:pt>
                <c:pt idx="9">
                  <c:v>46</c:v>
                </c:pt>
                <c:pt idx="10">
                  <c:v>38</c:v>
                </c:pt>
                <c:pt idx="11">
                  <c:v>18.2</c:v>
                </c:pt>
                <c:pt idx="12">
                  <c:v>20.8</c:v>
                </c:pt>
                <c:pt idx="13">
                  <c:v>18</c:v>
                </c:pt>
                <c:pt idx="14">
                  <c:v>3.9</c:v>
                </c:pt>
                <c:pt idx="15">
                  <c:v>24.3</c:v>
                </c:pt>
                <c:pt idx="16">
                  <c:v>12.7</c:v>
                </c:pt>
                <c:pt idx="17">
                  <c:v>14.8</c:v>
                </c:pt>
                <c:pt idx="18">
                  <c:v>13.7</c:v>
                </c:pt>
                <c:pt idx="19">
                  <c:v>5.9</c:v>
                </c:pt>
                <c:pt idx="20">
                  <c:v>19</c:v>
                </c:pt>
                <c:pt idx="22">
                  <c:v>42.3</c:v>
                </c:pt>
                <c:pt idx="23">
                  <c:v>42.3</c:v>
                </c:pt>
                <c:pt idx="24">
                  <c:v>46</c:v>
                </c:pt>
                <c:pt idx="25">
                  <c:v>38</c:v>
                </c:pt>
                <c:pt idx="26">
                  <c:v>31</c:v>
                </c:pt>
                <c:pt idx="27">
                  <c:v>60.1</c:v>
                </c:pt>
                <c:pt idx="28">
                  <c:v>18.2</c:v>
                </c:pt>
                <c:pt idx="29">
                  <c:v>46</c:v>
                </c:pt>
                <c:pt idx="30">
                  <c:v>38</c:v>
                </c:pt>
                <c:pt idx="31">
                  <c:v>31</c:v>
                </c:pt>
                <c:pt idx="32">
                  <c:v>60.1</c:v>
                </c:pt>
                <c:pt idx="33">
                  <c:v>18.2</c:v>
                </c:pt>
                <c:pt idx="34">
                  <c:v>31</c:v>
                </c:pt>
                <c:pt idx="35">
                  <c:v>46</c:v>
                </c:pt>
                <c:pt idx="36">
                  <c:v>38</c:v>
                </c:pt>
                <c:pt idx="37">
                  <c:v>60.1</c:v>
                </c:pt>
                <c:pt idx="38">
                  <c:v>18.2</c:v>
                </c:pt>
                <c:pt idx="39">
                  <c:v>26.3</c:v>
                </c:pt>
                <c:pt idx="40">
                  <c:v>26.3</c:v>
                </c:pt>
                <c:pt idx="41">
                  <c:v>36.799999999999997</c:v>
                </c:pt>
                <c:pt idx="42">
                  <c:v>17.2</c:v>
                </c:pt>
                <c:pt idx="43">
                  <c:v>43.5</c:v>
                </c:pt>
                <c:pt idx="44">
                  <c:v>31.5</c:v>
                </c:pt>
                <c:pt idx="46">
                  <c:v>5.9</c:v>
                </c:pt>
                <c:pt idx="47">
                  <c:v>8.1999999999999993</c:v>
                </c:pt>
                <c:pt idx="48">
                  <c:v>8.3000000000000007</c:v>
                </c:pt>
                <c:pt idx="49">
                  <c:v>79.599999999999994</c:v>
                </c:pt>
                <c:pt idx="50">
                  <c:v>79.599999999999994</c:v>
                </c:pt>
                <c:pt idx="51">
                  <c:v>18</c:v>
                </c:pt>
                <c:pt idx="52">
                  <c:v>16.3</c:v>
                </c:pt>
                <c:pt idx="53">
                  <c:v>24.3</c:v>
                </c:pt>
                <c:pt idx="54">
                  <c:v>42.3</c:v>
                </c:pt>
                <c:pt idx="55">
                  <c:v>21.3</c:v>
                </c:pt>
                <c:pt idx="56">
                  <c:v>5.9</c:v>
                </c:pt>
                <c:pt idx="58">
                  <c:v>31.5</c:v>
                </c:pt>
                <c:pt idx="59">
                  <c:v>28.4</c:v>
                </c:pt>
                <c:pt idx="60">
                  <c:v>31.5</c:v>
                </c:pt>
                <c:pt idx="61">
                  <c:v>23</c:v>
                </c:pt>
                <c:pt idx="62">
                  <c:v>17</c:v>
                </c:pt>
                <c:pt idx="64">
                  <c:v>57</c:v>
                </c:pt>
                <c:pt idx="65">
                  <c:v>20</c:v>
                </c:pt>
                <c:pt idx="66">
                  <c:v>32.799999999999997</c:v>
                </c:pt>
                <c:pt idx="67">
                  <c:v>28</c:v>
                </c:pt>
                <c:pt idx="68">
                  <c:v>41.1</c:v>
                </c:pt>
                <c:pt idx="69">
                  <c:v>65</c:v>
                </c:pt>
                <c:pt idx="71">
                  <c:v>42.3</c:v>
                </c:pt>
                <c:pt idx="72">
                  <c:v>24.3</c:v>
                </c:pt>
                <c:pt idx="73">
                  <c:v>60.1</c:v>
                </c:pt>
                <c:pt idx="74">
                  <c:v>17.399999999999999</c:v>
                </c:pt>
                <c:pt idx="75">
                  <c:v>39.5</c:v>
                </c:pt>
                <c:pt idx="76">
                  <c:v>27.4</c:v>
                </c:pt>
                <c:pt idx="77">
                  <c:v>20.5</c:v>
                </c:pt>
                <c:pt idx="78">
                  <c:v>30</c:v>
                </c:pt>
                <c:pt idx="79">
                  <c:v>33.299999999999997</c:v>
                </c:pt>
                <c:pt idx="80">
                  <c:v>9.4</c:v>
                </c:pt>
                <c:pt idx="81">
                  <c:v>19.8</c:v>
                </c:pt>
                <c:pt idx="82">
                  <c:v>39.200000000000003</c:v>
                </c:pt>
                <c:pt idx="84">
                  <c:v>20.6</c:v>
                </c:pt>
                <c:pt idx="85" formatCode="#,##0">
                  <c:v>20</c:v>
                </c:pt>
                <c:pt idx="86">
                  <c:v>36.799999999999997</c:v>
                </c:pt>
                <c:pt idx="87">
                  <c:v>45</c:v>
                </c:pt>
                <c:pt idx="88">
                  <c:v>37.5</c:v>
                </c:pt>
                <c:pt idx="89">
                  <c:v>68</c:v>
                </c:pt>
                <c:pt idx="90">
                  <c:v>57</c:v>
                </c:pt>
                <c:pt idx="91">
                  <c:v>31</c:v>
                </c:pt>
                <c:pt idx="92">
                  <c:v>35.9</c:v>
                </c:pt>
                <c:pt idx="93">
                  <c:v>17.3</c:v>
                </c:pt>
                <c:pt idx="94">
                  <c:v>21.2</c:v>
                </c:pt>
                <c:pt idx="95">
                  <c:v>14</c:v>
                </c:pt>
                <c:pt idx="96">
                  <c:v>27.5</c:v>
                </c:pt>
                <c:pt idx="97">
                  <c:v>21.8</c:v>
                </c:pt>
                <c:pt idx="98">
                  <c:v>21.8</c:v>
                </c:pt>
                <c:pt idx="99">
                  <c:v>40</c:v>
                </c:pt>
                <c:pt idx="100">
                  <c:v>28</c:v>
                </c:pt>
                <c:pt idx="101">
                  <c:v>28.4</c:v>
                </c:pt>
              </c:numCache>
            </c:numRef>
          </c:yVal>
          <c:smooth val="0"/>
          <c:extLst>
            <c:ext xmlns:c16="http://schemas.microsoft.com/office/drawing/2014/chart" uri="{C3380CC4-5D6E-409C-BE32-E72D297353CC}">
              <c16:uniqueId val="{00000001-52E8-F14F-85AA-99CF7DF40F84}"/>
            </c:ext>
          </c:extLst>
        </c:ser>
        <c:ser>
          <c:idx val="1"/>
          <c:order val="1"/>
          <c:spPr>
            <a:ln w="2540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power"/>
            <c:dispRSqr val="0"/>
            <c:dispEq val="0"/>
          </c:trendline>
          <c:xVal>
            <c:numRef>
              <c:f>'Old Data Sheet'!$D$3:$D$102</c:f>
              <c:numCache>
                <c:formatCode>General</c:formatCode>
                <c:ptCount val="100"/>
                <c:pt idx="35">
                  <c:v>1240</c:v>
                </c:pt>
                <c:pt idx="36">
                  <c:v>25</c:v>
                </c:pt>
                <c:pt idx="37">
                  <c:v>60</c:v>
                </c:pt>
                <c:pt idx="38">
                  <c:v>90</c:v>
                </c:pt>
                <c:pt idx="45">
                  <c:v>1743.1</c:v>
                </c:pt>
                <c:pt idx="46">
                  <c:v>2842.33</c:v>
                </c:pt>
                <c:pt idx="47">
                  <c:v>1711.28</c:v>
                </c:pt>
                <c:pt idx="48">
                  <c:v>1436.55</c:v>
                </c:pt>
                <c:pt idx="58">
                  <c:v>5.1319999999999997</c:v>
                </c:pt>
                <c:pt idx="71">
                  <c:v>102.75</c:v>
                </c:pt>
                <c:pt idx="72">
                  <c:v>640</c:v>
                </c:pt>
                <c:pt idx="74">
                  <c:v>1030</c:v>
                </c:pt>
                <c:pt idx="75">
                  <c:v>64.758300000000006</c:v>
                </c:pt>
                <c:pt idx="76">
                  <c:v>104.312</c:v>
                </c:pt>
                <c:pt idx="77">
                  <c:v>232.9</c:v>
                </c:pt>
                <c:pt idx="78">
                  <c:v>354.7</c:v>
                </c:pt>
                <c:pt idx="79">
                  <c:v>64.099999999999994</c:v>
                </c:pt>
                <c:pt idx="80">
                  <c:v>101.9</c:v>
                </c:pt>
                <c:pt idx="81">
                  <c:v>302.2</c:v>
                </c:pt>
                <c:pt idx="82">
                  <c:v>45.1</c:v>
                </c:pt>
                <c:pt idx="83">
                  <c:v>215.8</c:v>
                </c:pt>
                <c:pt idx="84">
                  <c:v>175</c:v>
                </c:pt>
                <c:pt idx="87">
                  <c:v>8.6</c:v>
                </c:pt>
                <c:pt idx="91">
                  <c:v>16.2</c:v>
                </c:pt>
                <c:pt idx="94">
                  <c:v>132</c:v>
                </c:pt>
              </c:numCache>
            </c:numRef>
          </c:xVal>
          <c:yVal>
            <c:numRef>
              <c:f>'Old Data Sheet'!$W$3:$W$102</c:f>
              <c:numCache>
                <c:formatCode>General</c:formatCode>
                <c:ptCount val="100"/>
                <c:pt idx="1">
                  <c:v>20</c:v>
                </c:pt>
                <c:pt idx="2">
                  <c:v>20</c:v>
                </c:pt>
                <c:pt idx="3">
                  <c:v>20.8</c:v>
                </c:pt>
                <c:pt idx="5">
                  <c:v>24.3</c:v>
                </c:pt>
                <c:pt idx="6">
                  <c:v>42.3</c:v>
                </c:pt>
                <c:pt idx="7">
                  <c:v>17.5</c:v>
                </c:pt>
                <c:pt idx="8">
                  <c:v>12</c:v>
                </c:pt>
                <c:pt idx="9">
                  <c:v>46</c:v>
                </c:pt>
                <c:pt idx="10">
                  <c:v>38</c:v>
                </c:pt>
                <c:pt idx="11">
                  <c:v>18.2</c:v>
                </c:pt>
                <c:pt idx="12">
                  <c:v>20.8</c:v>
                </c:pt>
                <c:pt idx="13">
                  <c:v>18</c:v>
                </c:pt>
                <c:pt idx="14">
                  <c:v>3.9</c:v>
                </c:pt>
                <c:pt idx="15">
                  <c:v>24.3</c:v>
                </c:pt>
                <c:pt idx="16">
                  <c:v>12.7</c:v>
                </c:pt>
                <c:pt idx="17">
                  <c:v>14.8</c:v>
                </c:pt>
                <c:pt idx="18">
                  <c:v>13.7</c:v>
                </c:pt>
                <c:pt idx="19">
                  <c:v>5.9</c:v>
                </c:pt>
                <c:pt idx="20">
                  <c:v>19</c:v>
                </c:pt>
                <c:pt idx="22">
                  <c:v>42.3</c:v>
                </c:pt>
                <c:pt idx="23">
                  <c:v>42.3</c:v>
                </c:pt>
                <c:pt idx="24">
                  <c:v>46</c:v>
                </c:pt>
                <c:pt idx="25">
                  <c:v>38</c:v>
                </c:pt>
                <c:pt idx="26">
                  <c:v>31</c:v>
                </c:pt>
                <c:pt idx="27">
                  <c:v>60.1</c:v>
                </c:pt>
                <c:pt idx="28">
                  <c:v>18.2</c:v>
                </c:pt>
                <c:pt idx="29">
                  <c:v>46</c:v>
                </c:pt>
                <c:pt idx="30">
                  <c:v>38</c:v>
                </c:pt>
                <c:pt idx="31">
                  <c:v>31</c:v>
                </c:pt>
                <c:pt idx="32">
                  <c:v>60.1</c:v>
                </c:pt>
                <c:pt idx="33">
                  <c:v>18.2</c:v>
                </c:pt>
                <c:pt idx="34">
                  <c:v>31</c:v>
                </c:pt>
                <c:pt idx="35">
                  <c:v>46</c:v>
                </c:pt>
                <c:pt idx="36">
                  <c:v>38</c:v>
                </c:pt>
                <c:pt idx="37">
                  <c:v>60.1</c:v>
                </c:pt>
                <c:pt idx="38">
                  <c:v>18.2</c:v>
                </c:pt>
                <c:pt idx="39">
                  <c:v>26.3</c:v>
                </c:pt>
                <c:pt idx="40">
                  <c:v>26.3</c:v>
                </c:pt>
                <c:pt idx="41">
                  <c:v>36.799999999999997</c:v>
                </c:pt>
                <c:pt idx="42">
                  <c:v>17.2</c:v>
                </c:pt>
                <c:pt idx="43">
                  <c:v>43.5</c:v>
                </c:pt>
                <c:pt idx="44">
                  <c:v>31.5</c:v>
                </c:pt>
                <c:pt idx="46">
                  <c:v>5.9</c:v>
                </c:pt>
                <c:pt idx="47">
                  <c:v>8.1999999999999993</c:v>
                </c:pt>
                <c:pt idx="48">
                  <c:v>8.3000000000000007</c:v>
                </c:pt>
                <c:pt idx="49">
                  <c:v>79.599999999999994</c:v>
                </c:pt>
                <c:pt idx="50">
                  <c:v>79.599999999999994</c:v>
                </c:pt>
                <c:pt idx="51">
                  <c:v>18</c:v>
                </c:pt>
                <c:pt idx="52">
                  <c:v>16.3</c:v>
                </c:pt>
                <c:pt idx="53">
                  <c:v>24.3</c:v>
                </c:pt>
                <c:pt idx="54">
                  <c:v>42.3</c:v>
                </c:pt>
                <c:pt idx="55">
                  <c:v>21.3</c:v>
                </c:pt>
                <c:pt idx="56">
                  <c:v>5.9</c:v>
                </c:pt>
                <c:pt idx="58">
                  <c:v>31.5</c:v>
                </c:pt>
                <c:pt idx="59">
                  <c:v>28.4</c:v>
                </c:pt>
                <c:pt idx="60">
                  <c:v>31.5</c:v>
                </c:pt>
                <c:pt idx="61">
                  <c:v>23</c:v>
                </c:pt>
                <c:pt idx="62">
                  <c:v>17</c:v>
                </c:pt>
                <c:pt idx="64">
                  <c:v>57</c:v>
                </c:pt>
                <c:pt idx="65">
                  <c:v>20</c:v>
                </c:pt>
                <c:pt idx="66">
                  <c:v>32.799999999999997</c:v>
                </c:pt>
                <c:pt idx="67">
                  <c:v>28</c:v>
                </c:pt>
                <c:pt idx="68">
                  <c:v>41.1</c:v>
                </c:pt>
                <c:pt idx="69">
                  <c:v>65</c:v>
                </c:pt>
                <c:pt idx="71">
                  <c:v>42.3</c:v>
                </c:pt>
                <c:pt idx="72">
                  <c:v>24.3</c:v>
                </c:pt>
                <c:pt idx="73">
                  <c:v>60.1</c:v>
                </c:pt>
                <c:pt idx="74">
                  <c:v>17.399999999999999</c:v>
                </c:pt>
                <c:pt idx="75">
                  <c:v>39.5</c:v>
                </c:pt>
                <c:pt idx="76">
                  <c:v>27.4</c:v>
                </c:pt>
                <c:pt idx="77">
                  <c:v>20.5</c:v>
                </c:pt>
                <c:pt idx="78">
                  <c:v>30</c:v>
                </c:pt>
                <c:pt idx="79">
                  <c:v>33.299999999999997</c:v>
                </c:pt>
                <c:pt idx="80">
                  <c:v>9.4</c:v>
                </c:pt>
                <c:pt idx="81">
                  <c:v>19.8</c:v>
                </c:pt>
                <c:pt idx="82">
                  <c:v>39.200000000000003</c:v>
                </c:pt>
                <c:pt idx="84">
                  <c:v>20.6</c:v>
                </c:pt>
                <c:pt idx="85" formatCode="#,##0">
                  <c:v>20</c:v>
                </c:pt>
                <c:pt idx="86">
                  <c:v>36.799999999999997</c:v>
                </c:pt>
                <c:pt idx="87">
                  <c:v>45</c:v>
                </c:pt>
                <c:pt idx="88">
                  <c:v>37.5</c:v>
                </c:pt>
                <c:pt idx="89">
                  <c:v>68</c:v>
                </c:pt>
                <c:pt idx="90">
                  <c:v>57</c:v>
                </c:pt>
                <c:pt idx="91">
                  <c:v>31</c:v>
                </c:pt>
                <c:pt idx="92">
                  <c:v>35.9</c:v>
                </c:pt>
                <c:pt idx="93">
                  <c:v>17.3</c:v>
                </c:pt>
                <c:pt idx="94">
                  <c:v>21.2</c:v>
                </c:pt>
                <c:pt idx="95">
                  <c:v>14</c:v>
                </c:pt>
                <c:pt idx="96">
                  <c:v>27.5</c:v>
                </c:pt>
                <c:pt idx="97">
                  <c:v>21.8</c:v>
                </c:pt>
                <c:pt idx="98">
                  <c:v>21.8</c:v>
                </c:pt>
                <c:pt idx="99">
                  <c:v>40</c:v>
                </c:pt>
              </c:numCache>
            </c:numRef>
          </c:yVal>
          <c:smooth val="0"/>
          <c:extLst>
            <c:ext xmlns:c16="http://schemas.microsoft.com/office/drawing/2014/chart" uri="{C3380CC4-5D6E-409C-BE32-E72D297353CC}">
              <c16:uniqueId val="{00000003-52E8-F14F-85AA-99CF7DF40F84}"/>
            </c:ext>
          </c:extLst>
        </c:ser>
        <c:ser>
          <c:idx val="2"/>
          <c:order val="2"/>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power"/>
            <c:dispRSqr val="0"/>
            <c:dispEq val="0"/>
          </c:trendline>
          <c:xVal>
            <c:strRef>
              <c:f>'Old Data Sheet'!$H$3:$H$102</c:f>
              <c:strCache>
                <c:ptCount val="99"/>
                <c:pt idx="0">
                  <c:v>   </c:v>
                </c:pt>
                <c:pt idx="2">
                  <c:v>96.4</c:v>
                </c:pt>
                <c:pt idx="3">
                  <c:v>124</c:v>
                </c:pt>
                <c:pt idx="5">
                  <c:v>530</c:v>
                </c:pt>
                <c:pt idx="6">
                  <c:v>43.5</c:v>
                </c:pt>
                <c:pt idx="12">
                  <c:v>316</c:v>
                </c:pt>
                <c:pt idx="13">
                  <c:v>54.6</c:v>
                </c:pt>
                <c:pt idx="14">
                  <c:v>204.55</c:v>
                </c:pt>
                <c:pt idx="15">
                  <c:v>1050</c:v>
                </c:pt>
                <c:pt idx="16">
                  <c:v>84.5</c:v>
                </c:pt>
                <c:pt idx="17">
                  <c:v>181.5</c:v>
                </c:pt>
                <c:pt idx="18">
                  <c:v>130.333</c:v>
                </c:pt>
                <c:pt idx="19">
                  <c:v>1077.33</c:v>
                </c:pt>
                <c:pt idx="21">
                  <c:v>46.315</c:v>
                </c:pt>
                <c:pt idx="22">
                  <c:v>147.15</c:v>
                </c:pt>
                <c:pt idx="23">
                  <c:v>27</c:v>
                </c:pt>
                <c:pt idx="24">
                  <c:v>165</c:v>
                </c:pt>
                <c:pt idx="25">
                  <c:v>3125</c:v>
                </c:pt>
                <c:pt idx="26">
                  <c:v>917.5</c:v>
                </c:pt>
                <c:pt idx="27">
                  <c:v>620</c:v>
                </c:pt>
                <c:pt idx="28">
                  <c:v>200</c:v>
                </c:pt>
                <c:pt idx="29">
                  <c:v>935</c:v>
                </c:pt>
                <c:pt idx="30">
                  <c:v>1120</c:v>
                </c:pt>
                <c:pt idx="31">
                  <c:v>1270</c:v>
                </c:pt>
                <c:pt idx="32">
                  <c:v>450</c:v>
                </c:pt>
                <c:pt idx="33">
                  <c:v>120</c:v>
                </c:pt>
                <c:pt idx="39">
                  <c:v>101.455</c:v>
                </c:pt>
                <c:pt idx="40">
                  <c:v>101.445</c:v>
                </c:pt>
                <c:pt idx="42">
                  <c:v>1711.15</c:v>
                </c:pt>
                <c:pt idx="44">
                  <c:v>35.9</c:v>
                </c:pt>
                <c:pt idx="50">
                  <c:v>126.7</c:v>
                </c:pt>
                <c:pt idx="51">
                  <c:v>66.6</c:v>
                </c:pt>
                <c:pt idx="52">
                  <c:v>695</c:v>
                </c:pt>
                <c:pt idx="53">
                  <c:v>435</c:v>
                </c:pt>
                <c:pt idx="54">
                  <c:v>40.7</c:v>
                </c:pt>
                <c:pt idx="55">
                  <c:v>475</c:v>
                </c:pt>
                <c:pt idx="56">
                  <c:v>3524.28</c:v>
                </c:pt>
                <c:pt idx="60">
                  <c:v>26.03</c:v>
                </c:pt>
                <c:pt idx="61">
                  <c:v>67.5</c:v>
                </c:pt>
                <c:pt idx="62">
                  <c:v>267.75</c:v>
                </c:pt>
                <c:pt idx="66">
                  <c:v>40.19</c:v>
                </c:pt>
                <c:pt idx="69">
                  <c:v>332</c:v>
                </c:pt>
                <c:pt idx="71">
                  <c:v>109.05</c:v>
                </c:pt>
                <c:pt idx="72">
                  <c:v>670</c:v>
                </c:pt>
                <c:pt idx="74">
                  <c:v>1088.4</c:v>
                </c:pt>
                <c:pt idx="75">
                  <c:v>88.4833</c:v>
                </c:pt>
                <c:pt idx="76">
                  <c:v>168.434</c:v>
                </c:pt>
                <c:pt idx="78">
                  <c:v>568.3</c:v>
                </c:pt>
                <c:pt idx="79">
                  <c:v>112.8</c:v>
                </c:pt>
                <c:pt idx="80">
                  <c:v>272</c:v>
                </c:pt>
                <c:pt idx="81">
                  <c:v>551</c:v>
                </c:pt>
                <c:pt idx="82">
                  <c:v>125.8</c:v>
                </c:pt>
                <c:pt idx="83">
                  <c:v>528.35</c:v>
                </c:pt>
                <c:pt idx="84">
                  <c:v>285.2</c:v>
                </c:pt>
                <c:pt idx="87">
                  <c:v>12.7</c:v>
                </c:pt>
                <c:pt idx="90">
                  <c:v>24.02</c:v>
                </c:pt>
                <c:pt idx="97">
                  <c:v>60.66</c:v>
                </c:pt>
                <c:pt idx="98">
                  <c:v>41.3</c:v>
                </c:pt>
              </c:strCache>
            </c:strRef>
          </c:xVal>
          <c:yVal>
            <c:numRef>
              <c:f>'Old Data Sheet'!$W$3:$W$102</c:f>
              <c:numCache>
                <c:formatCode>General</c:formatCode>
                <c:ptCount val="100"/>
                <c:pt idx="1">
                  <c:v>20</c:v>
                </c:pt>
                <c:pt idx="2">
                  <c:v>20</c:v>
                </c:pt>
                <c:pt idx="3">
                  <c:v>20.8</c:v>
                </c:pt>
                <c:pt idx="5">
                  <c:v>24.3</c:v>
                </c:pt>
                <c:pt idx="6">
                  <c:v>42.3</c:v>
                </c:pt>
                <c:pt idx="7">
                  <c:v>17.5</c:v>
                </c:pt>
                <c:pt idx="8">
                  <c:v>12</c:v>
                </c:pt>
                <c:pt idx="9">
                  <c:v>46</c:v>
                </c:pt>
                <c:pt idx="10">
                  <c:v>38</c:v>
                </c:pt>
                <c:pt idx="11">
                  <c:v>18.2</c:v>
                </c:pt>
                <c:pt idx="12">
                  <c:v>20.8</c:v>
                </c:pt>
                <c:pt idx="13">
                  <c:v>18</c:v>
                </c:pt>
                <c:pt idx="14">
                  <c:v>3.9</c:v>
                </c:pt>
                <c:pt idx="15">
                  <c:v>24.3</c:v>
                </c:pt>
                <c:pt idx="16">
                  <c:v>12.7</c:v>
                </c:pt>
                <c:pt idx="17">
                  <c:v>14.8</c:v>
                </c:pt>
                <c:pt idx="18">
                  <c:v>13.7</c:v>
                </c:pt>
                <c:pt idx="19">
                  <c:v>5.9</c:v>
                </c:pt>
                <c:pt idx="20">
                  <c:v>19</c:v>
                </c:pt>
                <c:pt idx="22">
                  <c:v>42.3</c:v>
                </c:pt>
                <c:pt idx="23">
                  <c:v>42.3</c:v>
                </c:pt>
                <c:pt idx="24">
                  <c:v>46</c:v>
                </c:pt>
                <c:pt idx="25">
                  <c:v>38</c:v>
                </c:pt>
                <c:pt idx="26">
                  <c:v>31</c:v>
                </c:pt>
                <c:pt idx="27">
                  <c:v>60.1</c:v>
                </c:pt>
                <c:pt idx="28">
                  <c:v>18.2</c:v>
                </c:pt>
                <c:pt idx="29">
                  <c:v>46</c:v>
                </c:pt>
                <c:pt idx="30">
                  <c:v>38</c:v>
                </c:pt>
                <c:pt idx="31">
                  <c:v>31</c:v>
                </c:pt>
                <c:pt idx="32">
                  <c:v>60.1</c:v>
                </c:pt>
                <c:pt idx="33">
                  <c:v>18.2</c:v>
                </c:pt>
                <c:pt idx="34">
                  <c:v>31</c:v>
                </c:pt>
                <c:pt idx="35">
                  <c:v>46</c:v>
                </c:pt>
                <c:pt idx="36">
                  <c:v>38</c:v>
                </c:pt>
                <c:pt idx="37">
                  <c:v>60.1</c:v>
                </c:pt>
                <c:pt idx="38">
                  <c:v>18.2</c:v>
                </c:pt>
                <c:pt idx="39">
                  <c:v>26.3</c:v>
                </c:pt>
                <c:pt idx="40">
                  <c:v>26.3</c:v>
                </c:pt>
                <c:pt idx="41">
                  <c:v>36.799999999999997</c:v>
                </c:pt>
                <c:pt idx="42">
                  <c:v>17.2</c:v>
                </c:pt>
                <c:pt idx="43">
                  <c:v>43.5</c:v>
                </c:pt>
                <c:pt idx="44">
                  <c:v>31.5</c:v>
                </c:pt>
                <c:pt idx="46">
                  <c:v>5.9</c:v>
                </c:pt>
                <c:pt idx="47">
                  <c:v>8.1999999999999993</c:v>
                </c:pt>
                <c:pt idx="48">
                  <c:v>8.3000000000000007</c:v>
                </c:pt>
                <c:pt idx="49">
                  <c:v>79.599999999999994</c:v>
                </c:pt>
                <c:pt idx="50">
                  <c:v>79.599999999999994</c:v>
                </c:pt>
                <c:pt idx="51">
                  <c:v>18</c:v>
                </c:pt>
                <c:pt idx="52">
                  <c:v>16.3</c:v>
                </c:pt>
                <c:pt idx="53">
                  <c:v>24.3</c:v>
                </c:pt>
                <c:pt idx="54">
                  <c:v>42.3</c:v>
                </c:pt>
                <c:pt idx="55">
                  <c:v>21.3</c:v>
                </c:pt>
                <c:pt idx="56">
                  <c:v>5.9</c:v>
                </c:pt>
                <c:pt idx="58">
                  <c:v>31.5</c:v>
                </c:pt>
                <c:pt idx="59">
                  <c:v>28.4</c:v>
                </c:pt>
                <c:pt idx="60">
                  <c:v>31.5</c:v>
                </c:pt>
                <c:pt idx="61">
                  <c:v>23</c:v>
                </c:pt>
                <c:pt idx="62">
                  <c:v>17</c:v>
                </c:pt>
                <c:pt idx="64">
                  <c:v>57</c:v>
                </c:pt>
                <c:pt idx="65">
                  <c:v>20</c:v>
                </c:pt>
                <c:pt idx="66">
                  <c:v>32.799999999999997</c:v>
                </c:pt>
                <c:pt idx="67">
                  <c:v>28</c:v>
                </c:pt>
                <c:pt idx="68">
                  <c:v>41.1</c:v>
                </c:pt>
                <c:pt idx="69">
                  <c:v>65</c:v>
                </c:pt>
                <c:pt idx="71">
                  <c:v>42.3</c:v>
                </c:pt>
                <c:pt idx="72">
                  <c:v>24.3</c:v>
                </c:pt>
                <c:pt idx="73">
                  <c:v>60.1</c:v>
                </c:pt>
                <c:pt idx="74">
                  <c:v>17.399999999999999</c:v>
                </c:pt>
                <c:pt idx="75">
                  <c:v>39.5</c:v>
                </c:pt>
                <c:pt idx="76">
                  <c:v>27.4</c:v>
                </c:pt>
                <c:pt idx="77">
                  <c:v>20.5</c:v>
                </c:pt>
                <c:pt idx="78">
                  <c:v>30</c:v>
                </c:pt>
                <c:pt idx="79">
                  <c:v>33.299999999999997</c:v>
                </c:pt>
                <c:pt idx="80">
                  <c:v>9.4</c:v>
                </c:pt>
                <c:pt idx="81">
                  <c:v>19.8</c:v>
                </c:pt>
                <c:pt idx="82">
                  <c:v>39.200000000000003</c:v>
                </c:pt>
                <c:pt idx="84">
                  <c:v>20.6</c:v>
                </c:pt>
                <c:pt idx="85" formatCode="#,##0">
                  <c:v>20</c:v>
                </c:pt>
                <c:pt idx="86">
                  <c:v>36.799999999999997</c:v>
                </c:pt>
                <c:pt idx="87">
                  <c:v>45</c:v>
                </c:pt>
                <c:pt idx="88">
                  <c:v>37.5</c:v>
                </c:pt>
                <c:pt idx="89">
                  <c:v>68</c:v>
                </c:pt>
                <c:pt idx="90">
                  <c:v>57</c:v>
                </c:pt>
                <c:pt idx="91">
                  <c:v>31</c:v>
                </c:pt>
                <c:pt idx="92">
                  <c:v>35.9</c:v>
                </c:pt>
                <c:pt idx="93">
                  <c:v>17.3</c:v>
                </c:pt>
                <c:pt idx="94">
                  <c:v>21.2</c:v>
                </c:pt>
                <c:pt idx="95">
                  <c:v>14</c:v>
                </c:pt>
                <c:pt idx="96">
                  <c:v>27.5</c:v>
                </c:pt>
                <c:pt idx="97">
                  <c:v>21.8</c:v>
                </c:pt>
                <c:pt idx="98">
                  <c:v>21.8</c:v>
                </c:pt>
                <c:pt idx="99">
                  <c:v>40</c:v>
                </c:pt>
              </c:numCache>
            </c:numRef>
          </c:yVal>
          <c:smooth val="0"/>
          <c:extLst>
            <c:ext xmlns:c16="http://schemas.microsoft.com/office/drawing/2014/chart" uri="{C3380CC4-5D6E-409C-BE32-E72D297353CC}">
              <c16:uniqueId val="{00000005-52E8-F14F-85AA-99CF7DF40F84}"/>
            </c:ext>
          </c:extLst>
        </c:ser>
        <c:dLbls>
          <c:showLegendKey val="0"/>
          <c:showVal val="0"/>
          <c:showCatName val="0"/>
          <c:showSerName val="0"/>
          <c:showPercent val="0"/>
          <c:showBubbleSize val="0"/>
        </c:dLbls>
        <c:axId val="1182526560"/>
        <c:axId val="1255947072"/>
      </c:scatterChart>
      <c:valAx>
        <c:axId val="1182526560"/>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FGM</a:t>
                </a:r>
                <a:r>
                  <a:rPr lang="en-US" baseline="0"/>
                  <a:t> Concentration (ng/g)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947072"/>
        <c:crosses val="autoZero"/>
        <c:crossBetween val="midCat"/>
      </c:valAx>
      <c:valAx>
        <c:axId val="1255947072"/>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Maximum</a:t>
                </a:r>
                <a:r>
                  <a:rPr lang="en-US" baseline="0"/>
                  <a:t> Lifespan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5265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FGC Concentration vs. Body Mass</a:t>
            </a:r>
          </a:p>
        </c:rich>
      </c:tx>
      <c:layout>
        <c:manualLayout>
          <c:xMode val="edge"/>
          <c:yMode val="edge"/>
          <c:x val="0.2513336970323129"/>
          <c:y val="5.78664151527992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'Old Data Sheet'!$X$1</c:f>
              <c:strCache>
                <c:ptCount val="1"/>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13851253526108032"/>
                  <c:y val="0.1652881155397602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600" baseline="0"/>
                      <a:t>y = 2916.9x</a:t>
                    </a:r>
                    <a:r>
                      <a:rPr lang="en-US" sz="1600" baseline="30000"/>
                      <a:t>-0.261</a:t>
                    </a:r>
                    <a:br>
                      <a:rPr lang="en-US" sz="1600" baseline="0"/>
                    </a:br>
                    <a:r>
                      <a:rPr lang="en-US" sz="1600" baseline="0"/>
                      <a:t>R² = 0.178</a:t>
                    </a:r>
                    <a:endParaRPr lang="en-US" sz="16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Sheet'!$X$3:$X$102</c:f>
              <c:numCache>
                <c:formatCode>#,##0</c:formatCode>
                <c:ptCount val="100"/>
                <c:pt idx="0">
                  <c:v>7000</c:v>
                </c:pt>
                <c:pt idx="1">
                  <c:v>750000</c:v>
                </c:pt>
                <c:pt idx="2">
                  <c:v>750000</c:v>
                </c:pt>
                <c:pt idx="3">
                  <c:v>61000</c:v>
                </c:pt>
                <c:pt idx="4">
                  <c:v>1600</c:v>
                </c:pt>
                <c:pt idx="5">
                  <c:v>164500</c:v>
                </c:pt>
                <c:pt idx="6">
                  <c:v>215000</c:v>
                </c:pt>
                <c:pt idx="7">
                  <c:v>21667</c:v>
                </c:pt>
                <c:pt idx="8" formatCode="General">
                  <c:v>728</c:v>
                </c:pt>
                <c:pt idx="9">
                  <c:v>2643</c:v>
                </c:pt>
                <c:pt idx="10">
                  <c:v>5735</c:v>
                </c:pt>
                <c:pt idx="11" formatCode="General">
                  <c:v>64.8</c:v>
                </c:pt>
                <c:pt idx="12">
                  <c:v>61000</c:v>
                </c:pt>
                <c:pt idx="13">
                  <c:v>4175</c:v>
                </c:pt>
                <c:pt idx="14" formatCode="General">
                  <c:v>105</c:v>
                </c:pt>
                <c:pt idx="15">
                  <c:v>164500</c:v>
                </c:pt>
                <c:pt idx="16">
                  <c:v>6500</c:v>
                </c:pt>
                <c:pt idx="17">
                  <c:v>17000</c:v>
                </c:pt>
                <c:pt idx="18">
                  <c:v>102500</c:v>
                </c:pt>
                <c:pt idx="19">
                  <c:v>45.2</c:v>
                </c:pt>
                <c:pt idx="20">
                  <c:v>4500</c:v>
                </c:pt>
                <c:pt idx="21">
                  <c:v>413</c:v>
                </c:pt>
                <c:pt idx="22">
                  <c:v>215000</c:v>
                </c:pt>
                <c:pt idx="23">
                  <c:v>215000</c:v>
                </c:pt>
                <c:pt idx="24">
                  <c:v>2643</c:v>
                </c:pt>
                <c:pt idx="25">
                  <c:v>5735</c:v>
                </c:pt>
                <c:pt idx="26">
                  <c:v>5000</c:v>
                </c:pt>
                <c:pt idx="27">
                  <c:v>139842</c:v>
                </c:pt>
                <c:pt idx="28" formatCode="General">
                  <c:v>64.8</c:v>
                </c:pt>
                <c:pt idx="29">
                  <c:v>2643</c:v>
                </c:pt>
                <c:pt idx="30">
                  <c:v>5735</c:v>
                </c:pt>
                <c:pt idx="31">
                  <c:v>5000</c:v>
                </c:pt>
                <c:pt idx="32">
                  <c:v>139842</c:v>
                </c:pt>
                <c:pt idx="33" formatCode="General">
                  <c:v>64.8</c:v>
                </c:pt>
                <c:pt idx="34">
                  <c:v>5000</c:v>
                </c:pt>
                <c:pt idx="35">
                  <c:v>2643</c:v>
                </c:pt>
                <c:pt idx="36">
                  <c:v>5735</c:v>
                </c:pt>
                <c:pt idx="37">
                  <c:v>139842</c:v>
                </c:pt>
                <c:pt idx="38" formatCode="General">
                  <c:v>64.8</c:v>
                </c:pt>
                <c:pt idx="39">
                  <c:v>119700</c:v>
                </c:pt>
                <c:pt idx="40">
                  <c:v>119700</c:v>
                </c:pt>
                <c:pt idx="41">
                  <c:v>1500</c:v>
                </c:pt>
                <c:pt idx="42">
                  <c:v>10650</c:v>
                </c:pt>
                <c:pt idx="43">
                  <c:v>1602330</c:v>
                </c:pt>
                <c:pt idx="44">
                  <c:v>20200</c:v>
                </c:pt>
                <c:pt idx="45">
                  <c:v>20.87</c:v>
                </c:pt>
                <c:pt idx="46">
                  <c:v>30</c:v>
                </c:pt>
                <c:pt idx="47">
                  <c:v>37</c:v>
                </c:pt>
                <c:pt idx="48" formatCode="General">
                  <c:v>21</c:v>
                </c:pt>
                <c:pt idx="49">
                  <c:v>3178000</c:v>
                </c:pt>
                <c:pt idx="50">
                  <c:v>3178000</c:v>
                </c:pt>
                <c:pt idx="51">
                  <c:v>4175</c:v>
                </c:pt>
                <c:pt idx="52">
                  <c:v>5200</c:v>
                </c:pt>
                <c:pt idx="53">
                  <c:v>164500</c:v>
                </c:pt>
                <c:pt idx="54">
                  <c:v>215000</c:v>
                </c:pt>
                <c:pt idx="55">
                  <c:v>4132</c:v>
                </c:pt>
                <c:pt idx="56">
                  <c:v>45.2</c:v>
                </c:pt>
                <c:pt idx="57" formatCode="General">
                  <c:v>412.5</c:v>
                </c:pt>
                <c:pt idx="58">
                  <c:v>200000</c:v>
                </c:pt>
                <c:pt idx="59" formatCode="General">
                  <c:v>11950</c:v>
                </c:pt>
                <c:pt idx="60">
                  <c:v>200000</c:v>
                </c:pt>
                <c:pt idx="61">
                  <c:v>87000</c:v>
                </c:pt>
                <c:pt idx="62">
                  <c:v>26500</c:v>
                </c:pt>
                <c:pt idx="63">
                  <c:v>17400</c:v>
                </c:pt>
                <c:pt idx="64">
                  <c:v>1100000</c:v>
                </c:pt>
                <c:pt idx="65">
                  <c:v>1300</c:v>
                </c:pt>
                <c:pt idx="66">
                  <c:v>700000</c:v>
                </c:pt>
                <c:pt idx="67">
                  <c:v>81150</c:v>
                </c:pt>
                <c:pt idx="68">
                  <c:v>63000</c:v>
                </c:pt>
                <c:pt idx="69" formatCode="General">
                  <c:v>3940034</c:v>
                </c:pt>
                <c:pt idx="70" formatCode="General">
                  <c:v>2800</c:v>
                </c:pt>
                <c:pt idx="71">
                  <c:v>215000</c:v>
                </c:pt>
                <c:pt idx="72">
                  <c:v>164500</c:v>
                </c:pt>
                <c:pt idx="73">
                  <c:v>139842</c:v>
                </c:pt>
                <c:pt idx="74">
                  <c:v>1332</c:v>
                </c:pt>
                <c:pt idx="75">
                  <c:v>800000</c:v>
                </c:pt>
                <c:pt idx="76">
                  <c:v>315000</c:v>
                </c:pt>
                <c:pt idx="77" formatCode="#,##0.00">
                  <c:v>38446.1</c:v>
                </c:pt>
                <c:pt idx="78">
                  <c:v>3900</c:v>
                </c:pt>
                <c:pt idx="79">
                  <c:v>100000</c:v>
                </c:pt>
                <c:pt idx="80">
                  <c:v>1021</c:v>
                </c:pt>
                <c:pt idx="81">
                  <c:v>19500</c:v>
                </c:pt>
                <c:pt idx="82">
                  <c:v>103750</c:v>
                </c:pt>
                <c:pt idx="83" formatCode="General">
                  <c:v>22983.200000000001</c:v>
                </c:pt>
                <c:pt idx="84">
                  <c:v>776</c:v>
                </c:pt>
                <c:pt idx="85">
                  <c:v>12000</c:v>
                </c:pt>
                <c:pt idx="86">
                  <c:v>117500</c:v>
                </c:pt>
                <c:pt idx="87">
                  <c:v>2175000</c:v>
                </c:pt>
                <c:pt idx="88">
                  <c:v>18000</c:v>
                </c:pt>
                <c:pt idx="89">
                  <c:v>45000</c:v>
                </c:pt>
                <c:pt idx="90">
                  <c:v>444900</c:v>
                </c:pt>
                <c:pt idx="91">
                  <c:v>384000</c:v>
                </c:pt>
                <c:pt idx="92">
                  <c:v>46000</c:v>
                </c:pt>
                <c:pt idx="93">
                  <c:v>43000</c:v>
                </c:pt>
                <c:pt idx="94">
                  <c:v>3500</c:v>
                </c:pt>
                <c:pt idx="95" formatCode="General">
                  <c:v>235</c:v>
                </c:pt>
                <c:pt idx="96">
                  <c:v>177500</c:v>
                </c:pt>
                <c:pt idx="97">
                  <c:v>101250</c:v>
                </c:pt>
                <c:pt idx="98">
                  <c:v>101250</c:v>
                </c:pt>
                <c:pt idx="99">
                  <c:v>277500</c:v>
                </c:pt>
              </c:numCache>
            </c:numRef>
          </c:xVal>
          <c:yVal>
            <c:numRef>
              <c:f>'Old Data Sheet'!$G$3:$G$102</c:f>
              <c:numCache>
                <c:formatCode>General</c:formatCode>
                <c:ptCount val="100"/>
                <c:pt idx="58">
                  <c:v>5.8605</c:v>
                </c:pt>
                <c:pt idx="71">
                  <c:v>109.05</c:v>
                </c:pt>
                <c:pt idx="72">
                  <c:v>670</c:v>
                </c:pt>
                <c:pt idx="74">
                  <c:v>1088.4000000000001</c:v>
                </c:pt>
                <c:pt idx="75">
                  <c:v>88.483300000000014</c:v>
                </c:pt>
                <c:pt idx="76">
                  <c:v>168.434</c:v>
                </c:pt>
                <c:pt idx="77">
                  <c:v>851.4</c:v>
                </c:pt>
                <c:pt idx="78">
                  <c:v>568.29999999999995</c:v>
                </c:pt>
                <c:pt idx="79">
                  <c:v>112.8</c:v>
                </c:pt>
                <c:pt idx="80">
                  <c:v>272</c:v>
                </c:pt>
                <c:pt idx="81">
                  <c:v>551</c:v>
                </c:pt>
                <c:pt idx="82">
                  <c:v>125.80000000000001</c:v>
                </c:pt>
                <c:pt idx="83">
                  <c:v>528.35</c:v>
                </c:pt>
                <c:pt idx="84">
                  <c:v>285.2</c:v>
                </c:pt>
                <c:pt idx="87">
                  <c:v>12.7</c:v>
                </c:pt>
              </c:numCache>
            </c:numRef>
          </c:yVal>
          <c:smooth val="0"/>
          <c:extLst>
            <c:ext xmlns:c16="http://schemas.microsoft.com/office/drawing/2014/chart" uri="{C3380CC4-5D6E-409C-BE32-E72D297353CC}">
              <c16:uniqueId val="{00000001-D9CC-CC44-8CFB-B0D94390FC2A}"/>
            </c:ext>
          </c:extLst>
        </c:ser>
        <c:dLbls>
          <c:showLegendKey val="0"/>
          <c:showVal val="0"/>
          <c:showCatName val="0"/>
          <c:showSerName val="0"/>
          <c:showPercent val="0"/>
          <c:showBubbleSize val="0"/>
        </c:dLbls>
        <c:axId val="45780208"/>
        <c:axId val="79638736"/>
      </c:scatterChart>
      <c:valAx>
        <c:axId val="45780208"/>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Body</a:t>
                </a:r>
                <a:r>
                  <a:rPr lang="en-US" baseline="0"/>
                  <a:t> Mass (g)</a:t>
                </a:r>
                <a:endParaRPr lang="en-US"/>
              </a:p>
            </c:rich>
          </c:tx>
          <c:layout>
            <c:manualLayout>
              <c:xMode val="edge"/>
              <c:yMode val="edge"/>
              <c:x val="0.46095441660200681"/>
              <c:y val="0.928161537346332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8736"/>
        <c:crosses val="autoZero"/>
        <c:crossBetween val="midCat"/>
      </c:valAx>
      <c:valAx>
        <c:axId val="7963873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FCM</a:t>
                </a:r>
                <a:r>
                  <a:rPr lang="en-US" baseline="0"/>
                  <a:t> Concnentration (ng/g)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02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6091064740434903E-2"/>
          <c:y val="0.13220658073672545"/>
          <c:w val="0.84895074706859575"/>
          <c:h val="0.77285535100189628"/>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4.653662489968774E-2"/>
                  <c:y val="-0.3028840802794387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'Practice Data Sheet (Graphing)'!$B$3:$B$58</c:f>
              <c:numCache>
                <c:formatCode>#,##0</c:formatCode>
                <c:ptCount val="56"/>
                <c:pt idx="1">
                  <c:v>7000</c:v>
                </c:pt>
                <c:pt idx="2">
                  <c:v>750000</c:v>
                </c:pt>
                <c:pt idx="3">
                  <c:v>13250</c:v>
                </c:pt>
                <c:pt idx="5">
                  <c:v>61000</c:v>
                </c:pt>
                <c:pt idx="6">
                  <c:v>21667</c:v>
                </c:pt>
                <c:pt idx="7" formatCode="General">
                  <c:v>728</c:v>
                </c:pt>
                <c:pt idx="8">
                  <c:v>2175000</c:v>
                </c:pt>
                <c:pt idx="9">
                  <c:v>200000</c:v>
                </c:pt>
                <c:pt idx="10">
                  <c:v>642.5</c:v>
                </c:pt>
                <c:pt idx="11">
                  <c:v>63000</c:v>
                </c:pt>
                <c:pt idx="12">
                  <c:v>1100000</c:v>
                </c:pt>
                <c:pt idx="13">
                  <c:v>300000</c:v>
                </c:pt>
                <c:pt idx="14">
                  <c:v>384000</c:v>
                </c:pt>
                <c:pt idx="15">
                  <c:v>3900</c:v>
                </c:pt>
                <c:pt idx="17">
                  <c:v>30</c:v>
                </c:pt>
                <c:pt idx="18">
                  <c:v>37</c:v>
                </c:pt>
                <c:pt idx="19">
                  <c:v>139842</c:v>
                </c:pt>
                <c:pt idx="20">
                  <c:v>46000</c:v>
                </c:pt>
                <c:pt idx="21">
                  <c:v>1600</c:v>
                </c:pt>
                <c:pt idx="22">
                  <c:v>4175</c:v>
                </c:pt>
                <c:pt idx="23">
                  <c:v>43000</c:v>
                </c:pt>
                <c:pt idx="25">
                  <c:v>26500</c:v>
                </c:pt>
                <c:pt idx="26">
                  <c:v>10100</c:v>
                </c:pt>
                <c:pt idx="27" formatCode="General">
                  <c:v>11950</c:v>
                </c:pt>
                <c:pt idx="28">
                  <c:v>3500</c:v>
                </c:pt>
                <c:pt idx="29">
                  <c:v>100000</c:v>
                </c:pt>
                <c:pt idx="30" formatCode="General">
                  <c:v>105</c:v>
                </c:pt>
                <c:pt idx="31" formatCode="General">
                  <c:v>64.8</c:v>
                </c:pt>
                <c:pt idx="32">
                  <c:v>12000</c:v>
                </c:pt>
                <c:pt idx="33">
                  <c:v>1332</c:v>
                </c:pt>
                <c:pt idx="34">
                  <c:v>1021</c:v>
                </c:pt>
                <c:pt idx="35">
                  <c:v>19500</c:v>
                </c:pt>
                <c:pt idx="36" formatCode="General">
                  <c:v>235</c:v>
                </c:pt>
                <c:pt idx="37">
                  <c:v>177500</c:v>
                </c:pt>
                <c:pt idx="38">
                  <c:v>1300</c:v>
                </c:pt>
                <c:pt idx="41">
                  <c:v>119700</c:v>
                </c:pt>
                <c:pt idx="42">
                  <c:v>119700</c:v>
                </c:pt>
                <c:pt idx="44">
                  <c:v>18000</c:v>
                </c:pt>
                <c:pt idx="45">
                  <c:v>20200</c:v>
                </c:pt>
                <c:pt idx="46" formatCode="General">
                  <c:v>21</c:v>
                </c:pt>
                <c:pt idx="47">
                  <c:v>101250</c:v>
                </c:pt>
                <c:pt idx="48">
                  <c:v>101250</c:v>
                </c:pt>
                <c:pt idx="50">
                  <c:v>700000</c:v>
                </c:pt>
                <c:pt idx="51">
                  <c:v>3500</c:v>
                </c:pt>
                <c:pt idx="52">
                  <c:v>1500</c:v>
                </c:pt>
                <c:pt idx="53">
                  <c:v>342.5</c:v>
                </c:pt>
                <c:pt idx="54">
                  <c:v>277500</c:v>
                </c:pt>
                <c:pt idx="55">
                  <c:v>103750</c:v>
                </c:pt>
              </c:numCache>
            </c:numRef>
          </c:xVal>
          <c:yVal>
            <c:numRef>
              <c:f>'Practice Data Sheet (Graphing)'!$C$3:$C$58</c:f>
              <c:numCache>
                <c:formatCode>General</c:formatCode>
                <c:ptCount val="56"/>
                <c:pt idx="1">
                  <c:v>633.69899999999996</c:v>
                </c:pt>
                <c:pt idx="2">
                  <c:v>11.992000000000001</c:v>
                </c:pt>
                <c:pt idx="3">
                  <c:v>75.575400000000002</c:v>
                </c:pt>
                <c:pt idx="4">
                  <c:v>312.55</c:v>
                </c:pt>
                <c:pt idx="5">
                  <c:v>220</c:v>
                </c:pt>
                <c:pt idx="6">
                  <c:v>60.92</c:v>
                </c:pt>
                <c:pt idx="7">
                  <c:v>349.23</c:v>
                </c:pt>
                <c:pt idx="8">
                  <c:v>4.0999999999999996</c:v>
                </c:pt>
                <c:pt idx="9">
                  <c:v>30</c:v>
                </c:pt>
                <c:pt idx="11">
                  <c:v>43.75</c:v>
                </c:pt>
                <c:pt idx="12">
                  <c:v>45.029000000000003</c:v>
                </c:pt>
                <c:pt idx="15">
                  <c:v>213.6</c:v>
                </c:pt>
                <c:pt idx="19">
                  <c:v>21.667000000000002</c:v>
                </c:pt>
                <c:pt idx="20">
                  <c:v>97.421999999999997</c:v>
                </c:pt>
                <c:pt idx="21">
                  <c:v>1054</c:v>
                </c:pt>
                <c:pt idx="22">
                  <c:v>60.6</c:v>
                </c:pt>
                <c:pt idx="23">
                  <c:v>45.469000000000001</c:v>
                </c:pt>
                <c:pt idx="25">
                  <c:v>267.75</c:v>
                </c:pt>
                <c:pt idx="27">
                  <c:v>51.505000000000003</c:v>
                </c:pt>
                <c:pt idx="29">
                  <c:v>48.7</c:v>
                </c:pt>
                <c:pt idx="31">
                  <c:v>334</c:v>
                </c:pt>
                <c:pt idx="32">
                  <c:v>47.548299999999998</c:v>
                </c:pt>
                <c:pt idx="33">
                  <c:v>58.4</c:v>
                </c:pt>
                <c:pt idx="34">
                  <c:v>170.1</c:v>
                </c:pt>
                <c:pt idx="35">
                  <c:v>248.8</c:v>
                </c:pt>
                <c:pt idx="36">
                  <c:v>138.59800000000001</c:v>
                </c:pt>
                <c:pt idx="37">
                  <c:v>83.043000000000006</c:v>
                </c:pt>
                <c:pt idx="38">
                  <c:v>25.683</c:v>
                </c:pt>
                <c:pt idx="41">
                  <c:v>101.455</c:v>
                </c:pt>
                <c:pt idx="42">
                  <c:v>101.44499999999999</c:v>
                </c:pt>
                <c:pt idx="44">
                  <c:v>63.3</c:v>
                </c:pt>
                <c:pt idx="45">
                  <c:v>35.9</c:v>
                </c:pt>
                <c:pt idx="49">
                  <c:v>263.02999999999997</c:v>
                </c:pt>
                <c:pt idx="52">
                  <c:v>642.1</c:v>
                </c:pt>
                <c:pt idx="54">
                  <c:v>19.042999999999999</c:v>
                </c:pt>
                <c:pt idx="55">
                  <c:v>80.7</c:v>
                </c:pt>
              </c:numCache>
            </c:numRef>
          </c:yVal>
          <c:smooth val="0"/>
          <c:extLst>
            <c:ext xmlns:c16="http://schemas.microsoft.com/office/drawing/2014/chart" uri="{C3380CC4-5D6E-409C-BE32-E72D297353CC}">
              <c16:uniqueId val="{00000000-4D75-9E4E-8AE5-2FD20CF16411}"/>
            </c:ext>
          </c:extLst>
        </c:ser>
        <c:dLbls>
          <c:showLegendKey val="0"/>
          <c:showVal val="0"/>
          <c:showCatName val="0"/>
          <c:showSerName val="0"/>
          <c:showPercent val="0"/>
          <c:showBubbleSize val="0"/>
        </c:dLbls>
        <c:axId val="367628239"/>
        <c:axId val="331655423"/>
      </c:scatterChart>
      <c:valAx>
        <c:axId val="367628239"/>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655423"/>
        <c:crosses val="autoZero"/>
        <c:crossBetween val="midCat"/>
      </c:valAx>
      <c:valAx>
        <c:axId val="331655423"/>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6282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('Old Data Sheet'!$C$12:$C$42,'Old Data Sheet'!$C$64:$C$85)</c:f>
              <c:numCache>
                <c:formatCode>General</c:formatCode>
                <c:ptCount val="53"/>
                <c:pt idx="0">
                  <c:v>7860</c:v>
                </c:pt>
                <c:pt idx="1">
                  <c:v>35.5</c:v>
                </c:pt>
                <c:pt idx="2">
                  <c:v>420</c:v>
                </c:pt>
                <c:pt idx="11">
                  <c:v>2625</c:v>
                </c:pt>
                <c:pt idx="25">
                  <c:v>21</c:v>
                </c:pt>
                <c:pt idx="34">
                  <c:v>45.029000000000003</c:v>
                </c:pt>
                <c:pt idx="35">
                  <c:v>25.683</c:v>
                </c:pt>
                <c:pt idx="37">
                  <c:v>307.8</c:v>
                </c:pt>
                <c:pt idx="38">
                  <c:v>43.75</c:v>
                </c:pt>
                <c:pt idx="40">
                  <c:v>4.375</c:v>
                </c:pt>
                <c:pt idx="41">
                  <c:v>6.3</c:v>
                </c:pt>
                <c:pt idx="42">
                  <c:v>30</c:v>
                </c:pt>
                <c:pt idx="43">
                  <c:v>20</c:v>
                </c:pt>
                <c:pt idx="44">
                  <c:v>58.4</c:v>
                </c:pt>
                <c:pt idx="45">
                  <c:v>23.725000000000001</c:v>
                </c:pt>
                <c:pt idx="46">
                  <c:v>64.122</c:v>
                </c:pt>
                <c:pt idx="47">
                  <c:v>618.5</c:v>
                </c:pt>
                <c:pt idx="48">
                  <c:v>213.6</c:v>
                </c:pt>
                <c:pt idx="49">
                  <c:v>48.7</c:v>
                </c:pt>
                <c:pt idx="50">
                  <c:v>170.1</c:v>
                </c:pt>
                <c:pt idx="51">
                  <c:v>248.8</c:v>
                </c:pt>
                <c:pt idx="52">
                  <c:v>80.7</c:v>
                </c:pt>
              </c:numCache>
            </c:numRef>
          </c:xVal>
          <c:yVal>
            <c:numRef>
              <c:f>('Old Data Sheet'!$D$12:$D$42,'Old Data Sheet'!$D$64:$D$85)</c:f>
              <c:numCache>
                <c:formatCode>General</c:formatCode>
                <c:ptCount val="53"/>
                <c:pt idx="26">
                  <c:v>1240</c:v>
                </c:pt>
                <c:pt idx="27">
                  <c:v>25</c:v>
                </c:pt>
                <c:pt idx="28">
                  <c:v>60</c:v>
                </c:pt>
                <c:pt idx="29">
                  <c:v>90</c:v>
                </c:pt>
                <c:pt idx="41">
                  <c:v>102.75</c:v>
                </c:pt>
                <c:pt idx="42">
                  <c:v>640</c:v>
                </c:pt>
                <c:pt idx="44">
                  <c:v>1030</c:v>
                </c:pt>
                <c:pt idx="45">
                  <c:v>64.758300000000006</c:v>
                </c:pt>
                <c:pt idx="46">
                  <c:v>104.312</c:v>
                </c:pt>
                <c:pt idx="47">
                  <c:v>232.9</c:v>
                </c:pt>
                <c:pt idx="48">
                  <c:v>354.7</c:v>
                </c:pt>
                <c:pt idx="49">
                  <c:v>64.099999999999994</c:v>
                </c:pt>
                <c:pt idx="50">
                  <c:v>101.9</c:v>
                </c:pt>
                <c:pt idx="51">
                  <c:v>302.2</c:v>
                </c:pt>
                <c:pt idx="52">
                  <c:v>45.1</c:v>
                </c:pt>
              </c:numCache>
            </c:numRef>
          </c:yVal>
          <c:smooth val="0"/>
          <c:extLst>
            <c:ext xmlns:c16="http://schemas.microsoft.com/office/drawing/2014/chart" uri="{C3380CC4-5D6E-409C-BE32-E72D297353CC}">
              <c16:uniqueId val="{00000001-786D-3341-A1D1-081A129B05C6}"/>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('Old Data Sheet'!$C$12:$C$42,'Old Data Sheet'!$C$64:$C$85)</c:f>
              <c:numCache>
                <c:formatCode>General</c:formatCode>
                <c:ptCount val="53"/>
                <c:pt idx="0">
                  <c:v>7860</c:v>
                </c:pt>
                <c:pt idx="1">
                  <c:v>35.5</c:v>
                </c:pt>
                <c:pt idx="2">
                  <c:v>420</c:v>
                </c:pt>
                <c:pt idx="11">
                  <c:v>2625</c:v>
                </c:pt>
                <c:pt idx="25">
                  <c:v>21</c:v>
                </c:pt>
                <c:pt idx="34">
                  <c:v>45.029000000000003</c:v>
                </c:pt>
                <c:pt idx="35">
                  <c:v>25.683</c:v>
                </c:pt>
                <c:pt idx="37">
                  <c:v>307.8</c:v>
                </c:pt>
                <c:pt idx="38">
                  <c:v>43.75</c:v>
                </c:pt>
                <c:pt idx="40">
                  <c:v>4.375</c:v>
                </c:pt>
                <c:pt idx="41">
                  <c:v>6.3</c:v>
                </c:pt>
                <c:pt idx="42">
                  <c:v>30</c:v>
                </c:pt>
                <c:pt idx="43">
                  <c:v>20</c:v>
                </c:pt>
                <c:pt idx="44">
                  <c:v>58.4</c:v>
                </c:pt>
                <c:pt idx="45">
                  <c:v>23.725000000000001</c:v>
                </c:pt>
                <c:pt idx="46">
                  <c:v>64.122</c:v>
                </c:pt>
                <c:pt idx="47">
                  <c:v>618.5</c:v>
                </c:pt>
                <c:pt idx="48">
                  <c:v>213.6</c:v>
                </c:pt>
                <c:pt idx="49">
                  <c:v>48.7</c:v>
                </c:pt>
                <c:pt idx="50">
                  <c:v>170.1</c:v>
                </c:pt>
                <c:pt idx="51">
                  <c:v>248.8</c:v>
                </c:pt>
                <c:pt idx="52">
                  <c:v>80.7</c:v>
                </c:pt>
              </c:numCache>
            </c:numRef>
          </c:xVal>
          <c:yVal>
            <c:numRef>
              <c:f>('Old Data Sheet'!$E$12:$E$42,'Old Data Sheet'!$E$64:$E$85)</c:f>
              <c:numCache>
                <c:formatCode>General</c:formatCode>
                <c:ptCount val="53"/>
                <c:pt idx="0">
                  <c:v>121250</c:v>
                </c:pt>
                <c:pt idx="1">
                  <c:v>188.5</c:v>
                </c:pt>
                <c:pt idx="2">
                  <c:v>1940</c:v>
                </c:pt>
                <c:pt idx="11">
                  <c:v>3748</c:v>
                </c:pt>
                <c:pt idx="25">
                  <c:v>37</c:v>
                </c:pt>
                <c:pt idx="34">
                  <c:v>105.90300000000001</c:v>
                </c:pt>
                <c:pt idx="35">
                  <c:v>209.113</c:v>
                </c:pt>
                <c:pt idx="37">
                  <c:v>820.9</c:v>
                </c:pt>
                <c:pt idx="38">
                  <c:v>744.95</c:v>
                </c:pt>
                <c:pt idx="40">
                  <c:v>43.6</c:v>
                </c:pt>
                <c:pt idx="41">
                  <c:v>19.2</c:v>
                </c:pt>
                <c:pt idx="42">
                  <c:v>115</c:v>
                </c:pt>
                <c:pt idx="43">
                  <c:v>40</c:v>
                </c:pt>
                <c:pt idx="44">
                  <c:v>104.2</c:v>
                </c:pt>
                <c:pt idx="45">
                  <c:v>49.3</c:v>
                </c:pt>
                <c:pt idx="46">
                  <c:v>14.9099</c:v>
                </c:pt>
                <c:pt idx="47">
                  <c:v>1850.3</c:v>
                </c:pt>
                <c:pt idx="48">
                  <c:v>384.6</c:v>
                </c:pt>
                <c:pt idx="49">
                  <c:v>1428.8</c:v>
                </c:pt>
                <c:pt idx="50">
                  <c:v>324.60000000000002</c:v>
                </c:pt>
                <c:pt idx="51">
                  <c:v>1100.7</c:v>
                </c:pt>
                <c:pt idx="52">
                  <c:v>369.6</c:v>
                </c:pt>
              </c:numCache>
            </c:numRef>
          </c:yVal>
          <c:smooth val="0"/>
          <c:extLst>
            <c:ext xmlns:c16="http://schemas.microsoft.com/office/drawing/2014/chart" uri="{C3380CC4-5D6E-409C-BE32-E72D297353CC}">
              <c16:uniqueId val="{00000002-786D-3341-A1D1-081A129B05C6}"/>
            </c:ext>
          </c:extLst>
        </c:ser>
        <c:ser>
          <c:idx val="2"/>
          <c:order val="2"/>
          <c:spPr>
            <a:ln w="25400" cap="rnd">
              <a:noFill/>
              <a:round/>
            </a:ln>
            <a:effectLst/>
          </c:spPr>
          <c:marker>
            <c:symbol val="circle"/>
            <c:size val="5"/>
            <c:spPr>
              <a:solidFill>
                <a:schemeClr val="accent3"/>
              </a:solidFill>
              <a:ln w="9525">
                <a:solidFill>
                  <a:schemeClr val="accent3"/>
                </a:solidFill>
              </a:ln>
              <a:effectLst/>
            </c:spPr>
          </c:marker>
          <c:xVal>
            <c:numRef>
              <c:f>'Old Data Sheet'!$C$64:$C$85</c:f>
              <c:numCache>
                <c:formatCode>General</c:formatCode>
                <c:ptCount val="22"/>
                <c:pt idx="3">
                  <c:v>45.029000000000003</c:v>
                </c:pt>
                <c:pt idx="4">
                  <c:v>25.683</c:v>
                </c:pt>
                <c:pt idx="6">
                  <c:v>307.8</c:v>
                </c:pt>
                <c:pt idx="7">
                  <c:v>43.75</c:v>
                </c:pt>
                <c:pt idx="9">
                  <c:v>4.375</c:v>
                </c:pt>
                <c:pt idx="10">
                  <c:v>6.3</c:v>
                </c:pt>
                <c:pt idx="11">
                  <c:v>30</c:v>
                </c:pt>
                <c:pt idx="12">
                  <c:v>20</c:v>
                </c:pt>
                <c:pt idx="13">
                  <c:v>58.4</c:v>
                </c:pt>
                <c:pt idx="14">
                  <c:v>23.725000000000001</c:v>
                </c:pt>
                <c:pt idx="15">
                  <c:v>64.122</c:v>
                </c:pt>
                <c:pt idx="16">
                  <c:v>618.5</c:v>
                </c:pt>
                <c:pt idx="17">
                  <c:v>213.6</c:v>
                </c:pt>
                <c:pt idx="18">
                  <c:v>48.7</c:v>
                </c:pt>
                <c:pt idx="19">
                  <c:v>170.1</c:v>
                </c:pt>
                <c:pt idx="20">
                  <c:v>248.8</c:v>
                </c:pt>
                <c:pt idx="21">
                  <c:v>80.7</c:v>
                </c:pt>
              </c:numCache>
            </c:numRef>
          </c:xVal>
          <c:yVal>
            <c:numRef>
              <c:f>'Old Data Sheet'!$D$64:$D$85</c:f>
              <c:numCache>
                <c:formatCode>General</c:formatCode>
                <c:ptCount val="22"/>
                <c:pt idx="10">
                  <c:v>102.75</c:v>
                </c:pt>
                <c:pt idx="11">
                  <c:v>640</c:v>
                </c:pt>
                <c:pt idx="13">
                  <c:v>1030</c:v>
                </c:pt>
                <c:pt idx="14">
                  <c:v>64.758300000000006</c:v>
                </c:pt>
                <c:pt idx="15">
                  <c:v>104.312</c:v>
                </c:pt>
                <c:pt idx="16">
                  <c:v>232.9</c:v>
                </c:pt>
                <c:pt idx="17">
                  <c:v>354.7</c:v>
                </c:pt>
                <c:pt idx="18">
                  <c:v>64.099999999999994</c:v>
                </c:pt>
                <c:pt idx="19">
                  <c:v>101.9</c:v>
                </c:pt>
                <c:pt idx="20">
                  <c:v>302.2</c:v>
                </c:pt>
                <c:pt idx="21">
                  <c:v>45.1</c:v>
                </c:pt>
              </c:numCache>
            </c:numRef>
          </c:yVal>
          <c:smooth val="0"/>
          <c:extLst>
            <c:ext xmlns:c16="http://schemas.microsoft.com/office/drawing/2014/chart" uri="{C3380CC4-5D6E-409C-BE32-E72D297353CC}">
              <c16:uniqueId val="{00000003-786D-3341-A1D1-081A129B05C6}"/>
            </c:ext>
          </c:extLst>
        </c:ser>
        <c:ser>
          <c:idx val="3"/>
          <c:order val="3"/>
          <c:spPr>
            <a:ln w="25400" cap="rnd">
              <a:noFill/>
              <a:round/>
            </a:ln>
            <a:effectLst/>
          </c:spPr>
          <c:marker>
            <c:symbol val="circle"/>
            <c:size val="5"/>
            <c:spPr>
              <a:solidFill>
                <a:schemeClr val="accent4"/>
              </a:solidFill>
              <a:ln w="9525">
                <a:solidFill>
                  <a:schemeClr val="accent4"/>
                </a:solidFill>
              </a:ln>
              <a:effectLst/>
            </c:spPr>
          </c:marker>
          <c:xVal>
            <c:numRef>
              <c:f>'Old Data Sheet'!$C$64:$C$85</c:f>
              <c:numCache>
                <c:formatCode>General</c:formatCode>
                <c:ptCount val="22"/>
                <c:pt idx="3">
                  <c:v>45.029000000000003</c:v>
                </c:pt>
                <c:pt idx="4">
                  <c:v>25.683</c:v>
                </c:pt>
                <c:pt idx="6">
                  <c:v>307.8</c:v>
                </c:pt>
                <c:pt idx="7">
                  <c:v>43.75</c:v>
                </c:pt>
                <c:pt idx="9">
                  <c:v>4.375</c:v>
                </c:pt>
                <c:pt idx="10">
                  <c:v>6.3</c:v>
                </c:pt>
                <c:pt idx="11">
                  <c:v>30</c:v>
                </c:pt>
                <c:pt idx="12">
                  <c:v>20</c:v>
                </c:pt>
                <c:pt idx="13">
                  <c:v>58.4</c:v>
                </c:pt>
                <c:pt idx="14">
                  <c:v>23.725000000000001</c:v>
                </c:pt>
                <c:pt idx="15">
                  <c:v>64.122</c:v>
                </c:pt>
                <c:pt idx="16">
                  <c:v>618.5</c:v>
                </c:pt>
                <c:pt idx="17">
                  <c:v>213.6</c:v>
                </c:pt>
                <c:pt idx="18">
                  <c:v>48.7</c:v>
                </c:pt>
                <c:pt idx="19">
                  <c:v>170.1</c:v>
                </c:pt>
                <c:pt idx="20">
                  <c:v>248.8</c:v>
                </c:pt>
                <c:pt idx="21">
                  <c:v>80.7</c:v>
                </c:pt>
              </c:numCache>
            </c:numRef>
          </c:xVal>
          <c:yVal>
            <c:numRef>
              <c:f>'Old Data Sheet'!$E$64:$E$85</c:f>
              <c:numCache>
                <c:formatCode>General</c:formatCode>
                <c:ptCount val="22"/>
                <c:pt idx="3">
                  <c:v>105.90300000000001</c:v>
                </c:pt>
                <c:pt idx="4">
                  <c:v>209.113</c:v>
                </c:pt>
                <c:pt idx="6">
                  <c:v>820.9</c:v>
                </c:pt>
                <c:pt idx="7">
                  <c:v>744.95</c:v>
                </c:pt>
                <c:pt idx="9">
                  <c:v>43.6</c:v>
                </c:pt>
                <c:pt idx="10">
                  <c:v>19.2</c:v>
                </c:pt>
                <c:pt idx="11">
                  <c:v>115</c:v>
                </c:pt>
                <c:pt idx="12">
                  <c:v>40</c:v>
                </c:pt>
                <c:pt idx="13">
                  <c:v>104.2</c:v>
                </c:pt>
                <c:pt idx="14">
                  <c:v>49.3</c:v>
                </c:pt>
                <c:pt idx="15">
                  <c:v>14.9099</c:v>
                </c:pt>
                <c:pt idx="16">
                  <c:v>1850.3</c:v>
                </c:pt>
                <c:pt idx="17">
                  <c:v>384.6</c:v>
                </c:pt>
                <c:pt idx="18">
                  <c:v>1428.8</c:v>
                </c:pt>
                <c:pt idx="19">
                  <c:v>324.60000000000002</c:v>
                </c:pt>
                <c:pt idx="20">
                  <c:v>1100.7</c:v>
                </c:pt>
                <c:pt idx="21">
                  <c:v>369.6</c:v>
                </c:pt>
              </c:numCache>
            </c:numRef>
          </c:yVal>
          <c:smooth val="0"/>
          <c:extLst>
            <c:ext xmlns:c16="http://schemas.microsoft.com/office/drawing/2014/chart" uri="{C3380CC4-5D6E-409C-BE32-E72D297353CC}">
              <c16:uniqueId val="{00000004-786D-3341-A1D1-081A129B05C6}"/>
            </c:ext>
          </c:extLst>
        </c:ser>
        <c:dLbls>
          <c:showLegendKey val="0"/>
          <c:showVal val="0"/>
          <c:showCatName val="0"/>
          <c:showSerName val="0"/>
          <c:showPercent val="0"/>
          <c:showBubbleSize val="0"/>
        </c:dLbls>
        <c:axId val="433192847"/>
        <c:axId val="477512783"/>
      </c:scatterChart>
      <c:valAx>
        <c:axId val="433192847"/>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512783"/>
        <c:crosses val="autoZero"/>
        <c:crossBetween val="midCat"/>
      </c:valAx>
      <c:valAx>
        <c:axId val="477512783"/>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92847"/>
        <c:crosses val="autoZero"/>
        <c:crossBetween val="midCat"/>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chart" Target="../charts/chart19.xml"/><Relationship Id="rId4"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38.xml"/><Relationship Id="rId13" Type="http://schemas.openxmlformats.org/officeDocument/2006/relationships/chart" Target="../charts/chart43.xml"/><Relationship Id="rId3" Type="http://schemas.openxmlformats.org/officeDocument/2006/relationships/chart" Target="../charts/chart33.xml"/><Relationship Id="rId7" Type="http://schemas.openxmlformats.org/officeDocument/2006/relationships/chart" Target="../charts/chart37.xml"/><Relationship Id="rId12" Type="http://schemas.openxmlformats.org/officeDocument/2006/relationships/chart" Target="../charts/chart42.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11" Type="http://schemas.openxmlformats.org/officeDocument/2006/relationships/chart" Target="../charts/chart41.xml"/><Relationship Id="rId5" Type="http://schemas.openxmlformats.org/officeDocument/2006/relationships/chart" Target="../charts/chart35.xml"/><Relationship Id="rId10" Type="http://schemas.openxmlformats.org/officeDocument/2006/relationships/chart" Target="../charts/chart40.xml"/><Relationship Id="rId4" Type="http://schemas.openxmlformats.org/officeDocument/2006/relationships/chart" Target="../charts/chart34.xml"/><Relationship Id="rId9" Type="http://schemas.openxmlformats.org/officeDocument/2006/relationships/chart" Target="../charts/chart3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51.xml"/><Relationship Id="rId13" Type="http://schemas.openxmlformats.org/officeDocument/2006/relationships/chart" Target="../charts/chart56.xml"/><Relationship Id="rId3" Type="http://schemas.openxmlformats.org/officeDocument/2006/relationships/chart" Target="../charts/chart46.xml"/><Relationship Id="rId7" Type="http://schemas.openxmlformats.org/officeDocument/2006/relationships/chart" Target="../charts/chart50.xml"/><Relationship Id="rId12" Type="http://schemas.openxmlformats.org/officeDocument/2006/relationships/chart" Target="../charts/chart55.xml"/><Relationship Id="rId2" Type="http://schemas.openxmlformats.org/officeDocument/2006/relationships/chart" Target="../charts/chart45.xml"/><Relationship Id="rId1" Type="http://schemas.openxmlformats.org/officeDocument/2006/relationships/chart" Target="../charts/chart44.xml"/><Relationship Id="rId6" Type="http://schemas.openxmlformats.org/officeDocument/2006/relationships/chart" Target="../charts/chart49.xml"/><Relationship Id="rId11" Type="http://schemas.openxmlformats.org/officeDocument/2006/relationships/chart" Target="../charts/chart54.xml"/><Relationship Id="rId5" Type="http://schemas.openxmlformats.org/officeDocument/2006/relationships/chart" Target="../charts/chart48.xml"/><Relationship Id="rId10" Type="http://schemas.openxmlformats.org/officeDocument/2006/relationships/chart" Target="../charts/chart53.xml"/><Relationship Id="rId4" Type="http://schemas.openxmlformats.org/officeDocument/2006/relationships/chart" Target="../charts/chart47.xml"/><Relationship Id="rId9" Type="http://schemas.openxmlformats.org/officeDocument/2006/relationships/chart" Target="../charts/chart5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58.xml"/><Relationship Id="rId1" Type="http://schemas.openxmlformats.org/officeDocument/2006/relationships/chart" Target="../charts/chart57.xml"/></Relationships>
</file>

<file path=xl/drawings/drawing1.xml><?xml version="1.0" encoding="utf-8"?>
<xdr:wsDr xmlns:xdr="http://schemas.openxmlformats.org/drawingml/2006/spreadsheetDrawing" xmlns:a="http://schemas.openxmlformats.org/drawingml/2006/main">
  <xdr:twoCellAnchor>
    <xdr:from>
      <xdr:col>25</xdr:col>
      <xdr:colOff>6706196</xdr:colOff>
      <xdr:row>126</xdr:row>
      <xdr:rowOff>79614</xdr:rowOff>
    </xdr:from>
    <xdr:to>
      <xdr:col>26</xdr:col>
      <xdr:colOff>905070</xdr:colOff>
      <xdr:row>140</xdr:row>
      <xdr:rowOff>123417</xdr:rowOff>
    </xdr:to>
    <xdr:graphicFrame macro="">
      <xdr:nvGraphicFramePr>
        <xdr:cNvPr id="6" name="Chart 5">
          <a:extLst>
            <a:ext uri="{FF2B5EF4-FFF2-40B4-BE49-F238E27FC236}">
              <a16:creationId xmlns:a16="http://schemas.microsoft.com/office/drawing/2014/main" id="{0C44A591-17B3-ACAA-A03F-EE6146E1C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631627</xdr:colOff>
      <xdr:row>131</xdr:row>
      <xdr:rowOff>176797</xdr:rowOff>
    </xdr:from>
    <xdr:to>
      <xdr:col>10</xdr:col>
      <xdr:colOff>795865</xdr:colOff>
      <xdr:row>156</xdr:row>
      <xdr:rowOff>152400</xdr:rowOff>
    </xdr:to>
    <xdr:graphicFrame macro="">
      <xdr:nvGraphicFramePr>
        <xdr:cNvPr id="7" name="Chart 6">
          <a:extLst>
            <a:ext uri="{FF2B5EF4-FFF2-40B4-BE49-F238E27FC236}">
              <a16:creationId xmlns:a16="http://schemas.microsoft.com/office/drawing/2014/main" id="{7044EAA6-DC12-6BDE-2B72-F35EB9F68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330200</xdr:colOff>
      <xdr:row>108</xdr:row>
      <xdr:rowOff>0</xdr:rowOff>
    </xdr:from>
    <xdr:to>
      <xdr:col>45</xdr:col>
      <xdr:colOff>812800</xdr:colOff>
      <xdr:row>120</xdr:row>
      <xdr:rowOff>0</xdr:rowOff>
    </xdr:to>
    <xdr:graphicFrame macro="">
      <xdr:nvGraphicFramePr>
        <xdr:cNvPr id="9" name="Chart 8">
          <a:extLst>
            <a:ext uri="{FF2B5EF4-FFF2-40B4-BE49-F238E27FC236}">
              <a16:creationId xmlns:a16="http://schemas.microsoft.com/office/drawing/2014/main" id="{05C8A1D2-0A15-2988-3A0E-733B8266B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137</xdr:row>
      <xdr:rowOff>179729</xdr:rowOff>
    </xdr:from>
    <xdr:to>
      <xdr:col>14</xdr:col>
      <xdr:colOff>147669</xdr:colOff>
      <xdr:row>150</xdr:row>
      <xdr:rowOff>84668</xdr:rowOff>
    </xdr:to>
    <xdr:graphicFrame macro="">
      <xdr:nvGraphicFramePr>
        <xdr:cNvPr id="2" name="Chart 1">
          <a:extLst>
            <a:ext uri="{FF2B5EF4-FFF2-40B4-BE49-F238E27FC236}">
              <a16:creationId xmlns:a16="http://schemas.microsoft.com/office/drawing/2014/main" id="{1220D440-278E-0CA7-23B2-60D01DCE1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1151464</xdr:colOff>
      <xdr:row>132</xdr:row>
      <xdr:rowOff>33866</xdr:rowOff>
    </xdr:from>
    <xdr:to>
      <xdr:col>13</xdr:col>
      <xdr:colOff>643466</xdr:colOff>
      <xdr:row>156</xdr:row>
      <xdr:rowOff>186266</xdr:rowOff>
    </xdr:to>
    <xdr:graphicFrame macro="">
      <xdr:nvGraphicFramePr>
        <xdr:cNvPr id="3" name="Chart 2">
          <a:extLst>
            <a:ext uri="{FF2B5EF4-FFF2-40B4-BE49-F238E27FC236}">
              <a16:creationId xmlns:a16="http://schemas.microsoft.com/office/drawing/2014/main" id="{DCD958F9-66FF-87D0-6816-EFE74C471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1320799</xdr:colOff>
      <xdr:row>132</xdr:row>
      <xdr:rowOff>0</xdr:rowOff>
    </xdr:from>
    <xdr:to>
      <xdr:col>14</xdr:col>
      <xdr:colOff>0</xdr:colOff>
      <xdr:row>157</xdr:row>
      <xdr:rowOff>0</xdr:rowOff>
    </xdr:to>
    <xdr:graphicFrame macro="">
      <xdr:nvGraphicFramePr>
        <xdr:cNvPr id="4" name="Chart 3">
          <a:extLst>
            <a:ext uri="{FF2B5EF4-FFF2-40B4-BE49-F238E27FC236}">
              <a16:creationId xmlns:a16="http://schemas.microsoft.com/office/drawing/2014/main" id="{E8A4D488-5AD9-0718-775A-86B5A4AC9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533399</xdr:colOff>
      <xdr:row>131</xdr:row>
      <xdr:rowOff>59267</xdr:rowOff>
    </xdr:from>
    <xdr:to>
      <xdr:col>19</xdr:col>
      <xdr:colOff>1134533</xdr:colOff>
      <xdr:row>157</xdr:row>
      <xdr:rowOff>50801</xdr:rowOff>
    </xdr:to>
    <xdr:graphicFrame macro="">
      <xdr:nvGraphicFramePr>
        <xdr:cNvPr id="12" name="Chart 11">
          <a:extLst>
            <a:ext uri="{FF2B5EF4-FFF2-40B4-BE49-F238E27FC236}">
              <a16:creationId xmlns:a16="http://schemas.microsoft.com/office/drawing/2014/main" id="{0C53E8AD-AC91-24E3-8B33-74A8CD7D4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1871132</xdr:colOff>
      <xdr:row>131</xdr:row>
      <xdr:rowOff>126998</xdr:rowOff>
    </xdr:from>
    <xdr:to>
      <xdr:col>24</xdr:col>
      <xdr:colOff>880533</xdr:colOff>
      <xdr:row>157</xdr:row>
      <xdr:rowOff>152399</xdr:rowOff>
    </xdr:to>
    <xdr:graphicFrame macro="">
      <xdr:nvGraphicFramePr>
        <xdr:cNvPr id="13" name="Chart 12">
          <a:extLst>
            <a:ext uri="{FF2B5EF4-FFF2-40B4-BE49-F238E27FC236}">
              <a16:creationId xmlns:a16="http://schemas.microsoft.com/office/drawing/2014/main" id="{F8BA1AF4-7F1A-B5B7-54B2-1817C5AE5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931332</xdr:colOff>
      <xdr:row>131</xdr:row>
      <xdr:rowOff>177799</xdr:rowOff>
    </xdr:from>
    <xdr:to>
      <xdr:col>25</xdr:col>
      <xdr:colOff>6959599</xdr:colOff>
      <xdr:row>158</xdr:row>
      <xdr:rowOff>33866</xdr:rowOff>
    </xdr:to>
    <xdr:graphicFrame macro="">
      <xdr:nvGraphicFramePr>
        <xdr:cNvPr id="14" name="Chart 13">
          <a:extLst>
            <a:ext uri="{FF2B5EF4-FFF2-40B4-BE49-F238E27FC236}">
              <a16:creationId xmlns:a16="http://schemas.microsoft.com/office/drawing/2014/main" id="{12AF469C-A244-8338-22C8-03863B107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7239001</xdr:colOff>
      <xdr:row>131</xdr:row>
      <xdr:rowOff>160866</xdr:rowOff>
    </xdr:from>
    <xdr:to>
      <xdr:col>26</xdr:col>
      <xdr:colOff>1916760</xdr:colOff>
      <xdr:row>158</xdr:row>
      <xdr:rowOff>0</xdr:rowOff>
    </xdr:to>
    <xdr:graphicFrame macro="">
      <xdr:nvGraphicFramePr>
        <xdr:cNvPr id="15" name="Chart 14">
          <a:extLst>
            <a:ext uri="{FF2B5EF4-FFF2-40B4-BE49-F238E27FC236}">
              <a16:creationId xmlns:a16="http://schemas.microsoft.com/office/drawing/2014/main" id="{858E2FFF-810A-18C4-0CE0-C72BC89E1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1295400</xdr:colOff>
      <xdr:row>161</xdr:row>
      <xdr:rowOff>63500</xdr:rowOff>
    </xdr:from>
    <xdr:to>
      <xdr:col>14</xdr:col>
      <xdr:colOff>0</xdr:colOff>
      <xdr:row>184</xdr:row>
      <xdr:rowOff>101600</xdr:rowOff>
    </xdr:to>
    <xdr:graphicFrame macro="">
      <xdr:nvGraphicFramePr>
        <xdr:cNvPr id="16" name="Chart 15">
          <a:extLst>
            <a:ext uri="{FF2B5EF4-FFF2-40B4-BE49-F238E27FC236}">
              <a16:creationId xmlns:a16="http://schemas.microsoft.com/office/drawing/2014/main" id="{A1B41731-F8C7-E918-3FBE-C98AB51CC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0</xdr:colOff>
      <xdr:row>188</xdr:row>
      <xdr:rowOff>110067</xdr:rowOff>
    </xdr:from>
    <xdr:to>
      <xdr:col>14</xdr:col>
      <xdr:colOff>0</xdr:colOff>
      <xdr:row>215</xdr:row>
      <xdr:rowOff>67733</xdr:rowOff>
    </xdr:to>
    <xdr:graphicFrame macro="">
      <xdr:nvGraphicFramePr>
        <xdr:cNvPr id="19" name="Chart 18">
          <a:extLst>
            <a:ext uri="{FF2B5EF4-FFF2-40B4-BE49-F238E27FC236}">
              <a16:creationId xmlns:a16="http://schemas.microsoft.com/office/drawing/2014/main" id="{6ACD28A8-656E-FEAF-CFB4-96D8A6B83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0</xdr:colOff>
      <xdr:row>189</xdr:row>
      <xdr:rowOff>57148</xdr:rowOff>
    </xdr:from>
    <xdr:to>
      <xdr:col>14</xdr:col>
      <xdr:colOff>156965</xdr:colOff>
      <xdr:row>215</xdr:row>
      <xdr:rowOff>57079</xdr:rowOff>
    </xdr:to>
    <xdr:graphicFrame macro="">
      <xdr:nvGraphicFramePr>
        <xdr:cNvPr id="30" name="Chart 29">
          <a:extLst>
            <a:ext uri="{FF2B5EF4-FFF2-40B4-BE49-F238E27FC236}">
              <a16:creationId xmlns:a16="http://schemas.microsoft.com/office/drawing/2014/main" id="{CB736D23-ABEA-5A0B-ABB5-A6FDE65664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0</xdr:colOff>
      <xdr:row>188</xdr:row>
      <xdr:rowOff>108724</xdr:rowOff>
    </xdr:from>
    <xdr:to>
      <xdr:col>18</xdr:col>
      <xdr:colOff>712438</xdr:colOff>
      <xdr:row>215</xdr:row>
      <xdr:rowOff>30975</xdr:rowOff>
    </xdr:to>
    <xdr:graphicFrame macro="">
      <xdr:nvGraphicFramePr>
        <xdr:cNvPr id="32" name="Chart 31">
          <a:extLst>
            <a:ext uri="{FF2B5EF4-FFF2-40B4-BE49-F238E27FC236}">
              <a16:creationId xmlns:a16="http://schemas.microsoft.com/office/drawing/2014/main" id="{1AA438F5-CFEF-126C-8438-07EF977C2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427181</xdr:colOff>
      <xdr:row>140</xdr:row>
      <xdr:rowOff>4233</xdr:rowOff>
    </xdr:from>
    <xdr:to>
      <xdr:col>7</xdr:col>
      <xdr:colOff>846667</xdr:colOff>
      <xdr:row>164</xdr:row>
      <xdr:rowOff>153939</xdr:rowOff>
    </xdr:to>
    <xdr:graphicFrame macro="">
      <xdr:nvGraphicFramePr>
        <xdr:cNvPr id="31" name="Chart 30">
          <a:extLst>
            <a:ext uri="{FF2B5EF4-FFF2-40B4-BE49-F238E27FC236}">
              <a16:creationId xmlns:a16="http://schemas.microsoft.com/office/drawing/2014/main" id="{6DCB6469-55CE-110E-C315-4AF0441CC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423333</xdr:colOff>
      <xdr:row>111</xdr:row>
      <xdr:rowOff>177414</xdr:rowOff>
    </xdr:from>
    <xdr:to>
      <xdr:col>7</xdr:col>
      <xdr:colOff>846667</xdr:colOff>
      <xdr:row>138</xdr:row>
      <xdr:rowOff>134697</xdr:rowOff>
    </xdr:to>
    <xdr:graphicFrame macro="">
      <xdr:nvGraphicFramePr>
        <xdr:cNvPr id="34" name="Chart 33">
          <a:extLst>
            <a:ext uri="{FF2B5EF4-FFF2-40B4-BE49-F238E27FC236}">
              <a16:creationId xmlns:a16="http://schemas.microsoft.com/office/drawing/2014/main" id="{2144DE2C-AE20-DB0F-490A-B75791B75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1302712</xdr:colOff>
      <xdr:row>140</xdr:row>
      <xdr:rowOff>23474</xdr:rowOff>
    </xdr:from>
    <xdr:to>
      <xdr:col>11</xdr:col>
      <xdr:colOff>1597121</xdr:colOff>
      <xdr:row>164</xdr:row>
      <xdr:rowOff>115453</xdr:rowOff>
    </xdr:to>
    <xdr:graphicFrame macro="">
      <xdr:nvGraphicFramePr>
        <xdr:cNvPr id="35" name="Chart 34">
          <a:extLst>
            <a:ext uri="{FF2B5EF4-FFF2-40B4-BE49-F238E27FC236}">
              <a16:creationId xmlns:a16="http://schemas.microsoft.com/office/drawing/2014/main" id="{0DFB14D7-3570-08CF-80F2-B4FE1656F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1272188</xdr:colOff>
      <xdr:row>111</xdr:row>
      <xdr:rowOff>183055</xdr:rowOff>
    </xdr:from>
    <xdr:to>
      <xdr:col>11</xdr:col>
      <xdr:colOff>1598447</xdr:colOff>
      <xdr:row>137</xdr:row>
      <xdr:rowOff>109483</xdr:rowOff>
    </xdr:to>
    <xdr:graphicFrame macro="">
      <xdr:nvGraphicFramePr>
        <xdr:cNvPr id="2" name="Chart 1">
          <a:extLst>
            <a:ext uri="{FF2B5EF4-FFF2-40B4-BE49-F238E27FC236}">
              <a16:creationId xmlns:a16="http://schemas.microsoft.com/office/drawing/2014/main" id="{331462FD-8FB8-68F8-47D5-42B7A9340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683559</xdr:colOff>
      <xdr:row>112</xdr:row>
      <xdr:rowOff>38473</xdr:rowOff>
    </xdr:from>
    <xdr:to>
      <xdr:col>16</xdr:col>
      <xdr:colOff>578971</xdr:colOff>
      <xdr:row>137</xdr:row>
      <xdr:rowOff>168087</xdr:rowOff>
    </xdr:to>
    <xdr:graphicFrame macro="">
      <xdr:nvGraphicFramePr>
        <xdr:cNvPr id="3" name="Chart 2">
          <a:extLst>
            <a:ext uri="{FF2B5EF4-FFF2-40B4-BE49-F238E27FC236}">
              <a16:creationId xmlns:a16="http://schemas.microsoft.com/office/drawing/2014/main" id="{9D38DE7C-B6B8-0C52-7BF0-FC3AEA194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323850</xdr:colOff>
      <xdr:row>3</xdr:row>
      <xdr:rowOff>50800</xdr:rowOff>
    </xdr:from>
    <xdr:to>
      <xdr:col>10</xdr:col>
      <xdr:colOff>273050</xdr:colOff>
      <xdr:row>17</xdr:row>
      <xdr:rowOff>38100</xdr:rowOff>
    </xdr:to>
    <xdr:graphicFrame macro="">
      <xdr:nvGraphicFramePr>
        <xdr:cNvPr id="2" name="Chart 1">
          <a:extLst>
            <a:ext uri="{FF2B5EF4-FFF2-40B4-BE49-F238E27FC236}">
              <a16:creationId xmlns:a16="http://schemas.microsoft.com/office/drawing/2014/main" id="{52231D44-9111-CA7B-1DF4-11EBDA550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xdr:colOff>
      <xdr:row>3</xdr:row>
      <xdr:rowOff>50800</xdr:rowOff>
    </xdr:from>
    <xdr:to>
      <xdr:col>9</xdr:col>
      <xdr:colOff>25400</xdr:colOff>
      <xdr:row>17</xdr:row>
      <xdr:rowOff>38100</xdr:rowOff>
    </xdr:to>
    <xdr:graphicFrame macro="">
      <xdr:nvGraphicFramePr>
        <xdr:cNvPr id="3" name="Chart 2">
          <a:extLst>
            <a:ext uri="{FF2B5EF4-FFF2-40B4-BE49-F238E27FC236}">
              <a16:creationId xmlns:a16="http://schemas.microsoft.com/office/drawing/2014/main" id="{6761D8A4-D48E-3B1C-7872-7A5FD1247F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425450</xdr:colOff>
      <xdr:row>2</xdr:row>
      <xdr:rowOff>69850</xdr:rowOff>
    </xdr:from>
    <xdr:to>
      <xdr:col>12</xdr:col>
      <xdr:colOff>190500</xdr:colOff>
      <xdr:row>20</xdr:row>
      <xdr:rowOff>165100</xdr:rowOff>
    </xdr:to>
    <xdr:graphicFrame macro="">
      <xdr:nvGraphicFramePr>
        <xdr:cNvPr id="2" name="Chart 1">
          <a:extLst>
            <a:ext uri="{FF2B5EF4-FFF2-40B4-BE49-F238E27FC236}">
              <a16:creationId xmlns:a16="http://schemas.microsoft.com/office/drawing/2014/main" id="{254F7402-A79C-A8D9-97C3-A89D1E266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520700</xdr:colOff>
      <xdr:row>22</xdr:row>
      <xdr:rowOff>120650</xdr:rowOff>
    </xdr:from>
    <xdr:to>
      <xdr:col>12</xdr:col>
      <xdr:colOff>228600</xdr:colOff>
      <xdr:row>44</xdr:row>
      <xdr:rowOff>38100</xdr:rowOff>
    </xdr:to>
    <xdr:graphicFrame macro="">
      <xdr:nvGraphicFramePr>
        <xdr:cNvPr id="3" name="Chart 2">
          <a:extLst>
            <a:ext uri="{FF2B5EF4-FFF2-40B4-BE49-F238E27FC236}">
              <a16:creationId xmlns:a16="http://schemas.microsoft.com/office/drawing/2014/main" id="{A41ECC1B-830F-95CE-4F2D-D744B1735B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632541</xdr:colOff>
      <xdr:row>105</xdr:row>
      <xdr:rowOff>4436</xdr:rowOff>
    </xdr:from>
    <xdr:to>
      <xdr:col>20</xdr:col>
      <xdr:colOff>635000</xdr:colOff>
      <xdr:row>151</xdr:row>
      <xdr:rowOff>132735</xdr:rowOff>
    </xdr:to>
    <xdr:graphicFrame macro="">
      <xdr:nvGraphicFramePr>
        <xdr:cNvPr id="2" name="Chart 1">
          <a:extLst>
            <a:ext uri="{FF2B5EF4-FFF2-40B4-BE49-F238E27FC236}">
              <a16:creationId xmlns:a16="http://schemas.microsoft.com/office/drawing/2014/main" id="{FE739F46-9942-0056-6458-A14D5DFD7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651934</xdr:colOff>
      <xdr:row>106</xdr:row>
      <xdr:rowOff>50800</xdr:rowOff>
    </xdr:from>
    <xdr:to>
      <xdr:col>34</xdr:col>
      <xdr:colOff>355600</xdr:colOff>
      <xdr:row>155</xdr:row>
      <xdr:rowOff>127000</xdr:rowOff>
    </xdr:to>
    <xdr:graphicFrame macro="">
      <xdr:nvGraphicFramePr>
        <xdr:cNvPr id="3" name="Chart 2">
          <a:extLst>
            <a:ext uri="{FF2B5EF4-FFF2-40B4-BE49-F238E27FC236}">
              <a16:creationId xmlns:a16="http://schemas.microsoft.com/office/drawing/2014/main" id="{6393F989-164F-4D56-FAFA-6E276E12E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647700</xdr:colOff>
      <xdr:row>8</xdr:row>
      <xdr:rowOff>6350</xdr:rowOff>
    </xdr:from>
    <xdr:to>
      <xdr:col>18</xdr:col>
      <xdr:colOff>266700</xdr:colOff>
      <xdr:row>21</xdr:row>
      <xdr:rowOff>107950</xdr:rowOff>
    </xdr:to>
    <xdr:graphicFrame macro="">
      <xdr:nvGraphicFramePr>
        <xdr:cNvPr id="7" name="Chart 6">
          <a:extLst>
            <a:ext uri="{FF2B5EF4-FFF2-40B4-BE49-F238E27FC236}">
              <a16:creationId xmlns:a16="http://schemas.microsoft.com/office/drawing/2014/main" id="{C9089945-7E3A-830C-4A3A-109370A54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635000</xdr:colOff>
      <xdr:row>22</xdr:row>
      <xdr:rowOff>57150</xdr:rowOff>
    </xdr:from>
    <xdr:to>
      <xdr:col>18</xdr:col>
      <xdr:colOff>254000</xdr:colOff>
      <xdr:row>35</xdr:row>
      <xdr:rowOff>158750</xdr:rowOff>
    </xdr:to>
    <xdr:graphicFrame macro="">
      <xdr:nvGraphicFramePr>
        <xdr:cNvPr id="8" name="Chart 7">
          <a:extLst>
            <a:ext uri="{FF2B5EF4-FFF2-40B4-BE49-F238E27FC236}">
              <a16:creationId xmlns:a16="http://schemas.microsoft.com/office/drawing/2014/main" id="{F68C12B3-72AF-52A6-19B1-895CFDD49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565761</xdr:colOff>
      <xdr:row>107</xdr:row>
      <xdr:rowOff>124846</xdr:rowOff>
    </xdr:from>
    <xdr:to>
      <xdr:col>49</xdr:col>
      <xdr:colOff>677820</xdr:colOff>
      <xdr:row>153</xdr:row>
      <xdr:rowOff>123901</xdr:rowOff>
    </xdr:to>
    <xdr:graphicFrame macro="">
      <xdr:nvGraphicFramePr>
        <xdr:cNvPr id="9" name="Chart 8">
          <a:extLst>
            <a:ext uri="{FF2B5EF4-FFF2-40B4-BE49-F238E27FC236}">
              <a16:creationId xmlns:a16="http://schemas.microsoft.com/office/drawing/2014/main" id="{3F61EB4B-48AA-0329-7B44-AA387A800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296127</xdr:colOff>
      <xdr:row>107</xdr:row>
      <xdr:rowOff>97118</xdr:rowOff>
    </xdr:from>
    <xdr:to>
      <xdr:col>6</xdr:col>
      <xdr:colOff>209177</xdr:colOff>
      <xdr:row>120</xdr:row>
      <xdr:rowOff>59784</xdr:rowOff>
    </xdr:to>
    <xdr:graphicFrame macro="">
      <xdr:nvGraphicFramePr>
        <xdr:cNvPr id="5" name="Chart 4">
          <a:extLst>
            <a:ext uri="{FF2B5EF4-FFF2-40B4-BE49-F238E27FC236}">
              <a16:creationId xmlns:a16="http://schemas.microsoft.com/office/drawing/2014/main" id="{8780BC51-8C52-5D04-7C7A-D43CE801D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107</xdr:row>
      <xdr:rowOff>108568</xdr:rowOff>
    </xdr:from>
    <xdr:to>
      <xdr:col>3</xdr:col>
      <xdr:colOff>112751</xdr:colOff>
      <xdr:row>121</xdr:row>
      <xdr:rowOff>32987</xdr:rowOff>
    </xdr:to>
    <xdr:graphicFrame macro="">
      <xdr:nvGraphicFramePr>
        <xdr:cNvPr id="6" name="Chart 5">
          <a:extLst>
            <a:ext uri="{FF2B5EF4-FFF2-40B4-BE49-F238E27FC236}">
              <a16:creationId xmlns:a16="http://schemas.microsoft.com/office/drawing/2014/main" id="{2CC62C4C-267D-A70C-A114-9FA17CC8A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1176867</xdr:colOff>
      <xdr:row>180</xdr:row>
      <xdr:rowOff>101601</xdr:rowOff>
    </xdr:from>
    <xdr:to>
      <xdr:col>20</xdr:col>
      <xdr:colOff>863600</xdr:colOff>
      <xdr:row>208</xdr:row>
      <xdr:rowOff>152399</xdr:rowOff>
    </xdr:to>
    <xdr:graphicFrame macro="">
      <xdr:nvGraphicFramePr>
        <xdr:cNvPr id="11" name="Chart 10">
          <a:extLst>
            <a:ext uri="{FF2B5EF4-FFF2-40B4-BE49-F238E27FC236}">
              <a16:creationId xmlns:a16="http://schemas.microsoft.com/office/drawing/2014/main" id="{8A00F9AF-D952-6754-0B7E-E4F8A80B1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1492248</xdr:colOff>
      <xdr:row>152</xdr:row>
      <xdr:rowOff>102053</xdr:rowOff>
    </xdr:from>
    <xdr:to>
      <xdr:col>16</xdr:col>
      <xdr:colOff>1153211</xdr:colOff>
      <xdr:row>181</xdr:row>
      <xdr:rowOff>101600</xdr:rowOff>
    </xdr:to>
    <xdr:graphicFrame macro="">
      <xdr:nvGraphicFramePr>
        <xdr:cNvPr id="13" name="Chart 12">
          <a:extLst>
            <a:ext uri="{FF2B5EF4-FFF2-40B4-BE49-F238E27FC236}">
              <a16:creationId xmlns:a16="http://schemas.microsoft.com/office/drawing/2014/main" id="{DBB964F6-AFAC-1D22-A881-D4F9A08CF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1158596</xdr:colOff>
      <xdr:row>121</xdr:row>
      <xdr:rowOff>143486</xdr:rowOff>
    </xdr:from>
    <xdr:to>
      <xdr:col>9</xdr:col>
      <xdr:colOff>1117600</xdr:colOff>
      <xdr:row>152</xdr:row>
      <xdr:rowOff>66842</xdr:rowOff>
    </xdr:to>
    <xdr:graphicFrame macro="">
      <xdr:nvGraphicFramePr>
        <xdr:cNvPr id="14" name="Chart 13">
          <a:extLst>
            <a:ext uri="{FF2B5EF4-FFF2-40B4-BE49-F238E27FC236}">
              <a16:creationId xmlns:a16="http://schemas.microsoft.com/office/drawing/2014/main" id="{4482C54B-C2FF-E724-F6A6-394019243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855398</xdr:colOff>
      <xdr:row>121</xdr:row>
      <xdr:rowOff>156705</xdr:rowOff>
    </xdr:from>
    <xdr:to>
      <xdr:col>25</xdr:col>
      <xdr:colOff>375382</xdr:colOff>
      <xdr:row>152</xdr:row>
      <xdr:rowOff>172203</xdr:rowOff>
    </xdr:to>
    <xdr:graphicFrame macro="">
      <xdr:nvGraphicFramePr>
        <xdr:cNvPr id="18" name="Chart 17">
          <a:extLst>
            <a:ext uri="{FF2B5EF4-FFF2-40B4-BE49-F238E27FC236}">
              <a16:creationId xmlns:a16="http://schemas.microsoft.com/office/drawing/2014/main" id="{145F6837-E6D2-600F-7B61-8BC4F3AB0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616857</xdr:colOff>
      <xdr:row>155</xdr:row>
      <xdr:rowOff>175530</xdr:rowOff>
    </xdr:from>
    <xdr:to>
      <xdr:col>25</xdr:col>
      <xdr:colOff>409944</xdr:colOff>
      <xdr:row>183</xdr:row>
      <xdr:rowOff>175077</xdr:rowOff>
    </xdr:to>
    <xdr:graphicFrame macro="">
      <xdr:nvGraphicFramePr>
        <xdr:cNvPr id="19" name="Chart 18">
          <a:extLst>
            <a:ext uri="{FF2B5EF4-FFF2-40B4-BE49-F238E27FC236}">
              <a16:creationId xmlns:a16="http://schemas.microsoft.com/office/drawing/2014/main" id="{BF5CD525-CE65-580C-0B1D-177BD0E06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667489</xdr:colOff>
      <xdr:row>122</xdr:row>
      <xdr:rowOff>16540</xdr:rowOff>
    </xdr:from>
    <xdr:to>
      <xdr:col>27</xdr:col>
      <xdr:colOff>9155813</xdr:colOff>
      <xdr:row>152</xdr:row>
      <xdr:rowOff>88604</xdr:rowOff>
    </xdr:to>
    <xdr:graphicFrame macro="">
      <xdr:nvGraphicFramePr>
        <xdr:cNvPr id="20" name="Chart 19">
          <a:extLst>
            <a:ext uri="{FF2B5EF4-FFF2-40B4-BE49-F238E27FC236}">
              <a16:creationId xmlns:a16="http://schemas.microsoft.com/office/drawing/2014/main" id="{EB1F69C1-69E4-D0ED-ECDA-9CC8D297B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9748983</xdr:colOff>
      <xdr:row>157</xdr:row>
      <xdr:rowOff>10893</xdr:rowOff>
    </xdr:from>
    <xdr:to>
      <xdr:col>29</xdr:col>
      <xdr:colOff>514626</xdr:colOff>
      <xdr:row>187</xdr:row>
      <xdr:rowOff>0</xdr:rowOff>
    </xdr:to>
    <xdr:graphicFrame macro="">
      <xdr:nvGraphicFramePr>
        <xdr:cNvPr id="21" name="Chart 20">
          <a:extLst>
            <a:ext uri="{FF2B5EF4-FFF2-40B4-BE49-F238E27FC236}">
              <a16:creationId xmlns:a16="http://schemas.microsoft.com/office/drawing/2014/main" id="{7558135E-6322-B98E-3F90-4389DADB8E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10041758</xdr:colOff>
      <xdr:row>122</xdr:row>
      <xdr:rowOff>29776</xdr:rowOff>
    </xdr:from>
    <xdr:to>
      <xdr:col>28</xdr:col>
      <xdr:colOff>8211207</xdr:colOff>
      <xdr:row>152</xdr:row>
      <xdr:rowOff>21897</xdr:rowOff>
    </xdr:to>
    <xdr:graphicFrame macro="">
      <xdr:nvGraphicFramePr>
        <xdr:cNvPr id="22" name="Chart 21">
          <a:extLst>
            <a:ext uri="{FF2B5EF4-FFF2-40B4-BE49-F238E27FC236}">
              <a16:creationId xmlns:a16="http://schemas.microsoft.com/office/drawing/2014/main" id="{6D02636D-2CD6-143B-4ED2-DD676A9DF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1151759</xdr:colOff>
      <xdr:row>156</xdr:row>
      <xdr:rowOff>51673</xdr:rowOff>
    </xdr:from>
    <xdr:to>
      <xdr:col>9</xdr:col>
      <xdr:colOff>660401</xdr:colOff>
      <xdr:row>185</xdr:row>
      <xdr:rowOff>65690</xdr:rowOff>
    </xdr:to>
    <xdr:graphicFrame macro="">
      <xdr:nvGraphicFramePr>
        <xdr:cNvPr id="23" name="Chart 22">
          <a:extLst>
            <a:ext uri="{FF2B5EF4-FFF2-40B4-BE49-F238E27FC236}">
              <a16:creationId xmlns:a16="http://schemas.microsoft.com/office/drawing/2014/main" id="{8570F831-AAEF-0733-892D-8266C6BF4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878006</xdr:colOff>
      <xdr:row>205</xdr:row>
      <xdr:rowOff>30652</xdr:rowOff>
    </xdr:from>
    <xdr:to>
      <xdr:col>27</xdr:col>
      <xdr:colOff>6654800</xdr:colOff>
      <xdr:row>272</xdr:row>
      <xdr:rowOff>50800</xdr:rowOff>
    </xdr:to>
    <xdr:graphicFrame macro="">
      <xdr:nvGraphicFramePr>
        <xdr:cNvPr id="4" name="Chart 23">
          <a:extLst>
            <a:ext uri="{FF2B5EF4-FFF2-40B4-BE49-F238E27FC236}">
              <a16:creationId xmlns:a16="http://schemas.microsoft.com/office/drawing/2014/main" id="{4309E0C4-FD28-A89E-1FF6-0B656093C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801414</xdr:colOff>
      <xdr:row>155</xdr:row>
      <xdr:rowOff>183056</xdr:rowOff>
    </xdr:from>
    <xdr:to>
      <xdr:col>27</xdr:col>
      <xdr:colOff>9152759</xdr:colOff>
      <xdr:row>183</xdr:row>
      <xdr:rowOff>43793</xdr:rowOff>
    </xdr:to>
    <xdr:graphicFrame macro="">
      <xdr:nvGraphicFramePr>
        <xdr:cNvPr id="25" name="Chart 24">
          <a:extLst>
            <a:ext uri="{FF2B5EF4-FFF2-40B4-BE49-F238E27FC236}">
              <a16:creationId xmlns:a16="http://schemas.microsoft.com/office/drawing/2014/main" id="{B1271B40-D36B-B148-6F69-3BA0D391B9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1666696</xdr:colOff>
      <xdr:row>192</xdr:row>
      <xdr:rowOff>162387</xdr:rowOff>
    </xdr:from>
    <xdr:to>
      <xdr:col>6</xdr:col>
      <xdr:colOff>1401281</xdr:colOff>
      <xdr:row>206</xdr:row>
      <xdr:rowOff>108733</xdr:rowOff>
    </xdr:to>
    <xdr:graphicFrame macro="">
      <xdr:nvGraphicFramePr>
        <xdr:cNvPr id="2" name="Chart 1">
          <a:extLst>
            <a:ext uri="{FF2B5EF4-FFF2-40B4-BE49-F238E27FC236}">
              <a16:creationId xmlns:a16="http://schemas.microsoft.com/office/drawing/2014/main" id="{77770EC0-A20B-7014-ED8B-671600879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1616753</xdr:colOff>
      <xdr:row>192</xdr:row>
      <xdr:rowOff>162388</xdr:rowOff>
    </xdr:from>
    <xdr:to>
      <xdr:col>11</xdr:col>
      <xdr:colOff>1117600</xdr:colOff>
      <xdr:row>206</xdr:row>
      <xdr:rowOff>108734</xdr:rowOff>
    </xdr:to>
    <xdr:graphicFrame macro="">
      <xdr:nvGraphicFramePr>
        <xdr:cNvPr id="3" name="Chart 2">
          <a:extLst>
            <a:ext uri="{FF2B5EF4-FFF2-40B4-BE49-F238E27FC236}">
              <a16:creationId xmlns:a16="http://schemas.microsoft.com/office/drawing/2014/main" id="{C93FE74F-4E33-4C10-D0AB-70BD742F1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393701</xdr:colOff>
      <xdr:row>3</xdr:row>
      <xdr:rowOff>114300</xdr:rowOff>
    </xdr:from>
    <xdr:to>
      <xdr:col>5</xdr:col>
      <xdr:colOff>1424879</xdr:colOff>
      <xdr:row>25</xdr:row>
      <xdr:rowOff>15488</xdr:rowOff>
    </xdr:to>
    <xdr:graphicFrame macro="">
      <xdr:nvGraphicFramePr>
        <xdr:cNvPr id="2" name="Chart 1">
          <a:extLst>
            <a:ext uri="{FF2B5EF4-FFF2-40B4-BE49-F238E27FC236}">
              <a16:creationId xmlns:a16="http://schemas.microsoft.com/office/drawing/2014/main" id="{2F613B06-9380-2642-ADE3-1D77ED9EF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520700</xdr:colOff>
      <xdr:row>3</xdr:row>
      <xdr:rowOff>107950</xdr:rowOff>
    </xdr:from>
    <xdr:to>
      <xdr:col>11</xdr:col>
      <xdr:colOff>330200</xdr:colOff>
      <xdr:row>25</xdr:row>
      <xdr:rowOff>12700</xdr:rowOff>
    </xdr:to>
    <xdr:graphicFrame macro="">
      <xdr:nvGraphicFramePr>
        <xdr:cNvPr id="3" name="Chart 2">
          <a:extLst>
            <a:ext uri="{FF2B5EF4-FFF2-40B4-BE49-F238E27FC236}">
              <a16:creationId xmlns:a16="http://schemas.microsoft.com/office/drawing/2014/main" id="{78D1A776-3845-8A4A-B958-73C67B831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19050</xdr:colOff>
      <xdr:row>3</xdr:row>
      <xdr:rowOff>31750</xdr:rowOff>
    </xdr:from>
    <xdr:to>
      <xdr:col>16</xdr:col>
      <xdr:colOff>660400</xdr:colOff>
      <xdr:row>24</xdr:row>
      <xdr:rowOff>139700</xdr:rowOff>
    </xdr:to>
    <xdr:graphicFrame macro="">
      <xdr:nvGraphicFramePr>
        <xdr:cNvPr id="4" name="Chart 3">
          <a:extLst>
            <a:ext uri="{FF2B5EF4-FFF2-40B4-BE49-F238E27FC236}">
              <a16:creationId xmlns:a16="http://schemas.microsoft.com/office/drawing/2014/main" id="{0AE9869B-DAE5-2548-AC26-7328794A9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401134</xdr:colOff>
      <xdr:row>27</xdr:row>
      <xdr:rowOff>45535</xdr:rowOff>
    </xdr:from>
    <xdr:to>
      <xdr:col>5</xdr:col>
      <xdr:colOff>1424878</xdr:colOff>
      <xdr:row>47</xdr:row>
      <xdr:rowOff>15488</xdr:rowOff>
    </xdr:to>
    <xdr:graphicFrame macro="">
      <xdr:nvGraphicFramePr>
        <xdr:cNvPr id="5" name="Chart 4">
          <a:extLst>
            <a:ext uri="{FF2B5EF4-FFF2-40B4-BE49-F238E27FC236}">
              <a16:creationId xmlns:a16="http://schemas.microsoft.com/office/drawing/2014/main" id="{B5D6BBE8-7FD4-4544-B528-B21F48AE7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563756</xdr:colOff>
      <xdr:row>27</xdr:row>
      <xdr:rowOff>107486</xdr:rowOff>
    </xdr:from>
    <xdr:to>
      <xdr:col>11</xdr:col>
      <xdr:colOff>371706</xdr:colOff>
      <xdr:row>47</xdr:row>
      <xdr:rowOff>139391</xdr:rowOff>
    </xdr:to>
    <xdr:graphicFrame macro="">
      <xdr:nvGraphicFramePr>
        <xdr:cNvPr id="6" name="Chart 5">
          <a:extLst>
            <a:ext uri="{FF2B5EF4-FFF2-40B4-BE49-F238E27FC236}">
              <a16:creationId xmlns:a16="http://schemas.microsoft.com/office/drawing/2014/main" id="{04BC7597-A14D-C346-8C09-65F7103EB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16932</xdr:colOff>
      <xdr:row>27</xdr:row>
      <xdr:rowOff>110065</xdr:rowOff>
    </xdr:from>
    <xdr:to>
      <xdr:col>16</xdr:col>
      <xdr:colOff>758903</xdr:colOff>
      <xdr:row>47</xdr:row>
      <xdr:rowOff>152399</xdr:rowOff>
    </xdr:to>
    <xdr:graphicFrame macro="">
      <xdr:nvGraphicFramePr>
        <xdr:cNvPr id="7" name="Chart 6">
          <a:extLst>
            <a:ext uri="{FF2B5EF4-FFF2-40B4-BE49-F238E27FC236}">
              <a16:creationId xmlns:a16="http://schemas.microsoft.com/office/drawing/2014/main" id="{E7D9EB72-B09F-C54A-8738-9734B1047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480786</xdr:colOff>
      <xdr:row>50</xdr:row>
      <xdr:rowOff>136524</xdr:rowOff>
    </xdr:from>
    <xdr:to>
      <xdr:col>6</xdr:col>
      <xdr:colOff>50799</xdr:colOff>
      <xdr:row>72</xdr:row>
      <xdr:rowOff>84666</xdr:rowOff>
    </xdr:to>
    <xdr:graphicFrame macro="">
      <xdr:nvGraphicFramePr>
        <xdr:cNvPr id="8" name="Chart 7">
          <a:extLst>
            <a:ext uri="{FF2B5EF4-FFF2-40B4-BE49-F238E27FC236}">
              <a16:creationId xmlns:a16="http://schemas.microsoft.com/office/drawing/2014/main" id="{9FF00828-24FF-854C-B0E5-78C8A50CF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615292</xdr:colOff>
      <xdr:row>50</xdr:row>
      <xdr:rowOff>117366</xdr:rowOff>
    </xdr:from>
    <xdr:to>
      <xdr:col>11</xdr:col>
      <xdr:colOff>416035</xdr:colOff>
      <xdr:row>72</xdr:row>
      <xdr:rowOff>87587</xdr:rowOff>
    </xdr:to>
    <xdr:graphicFrame macro="">
      <xdr:nvGraphicFramePr>
        <xdr:cNvPr id="9" name="Chart 8">
          <a:extLst>
            <a:ext uri="{FF2B5EF4-FFF2-40B4-BE49-F238E27FC236}">
              <a16:creationId xmlns:a16="http://schemas.microsoft.com/office/drawing/2014/main" id="{BC19DFDE-16F0-324D-A2FC-6FE7C7584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112888</xdr:colOff>
      <xdr:row>50</xdr:row>
      <xdr:rowOff>188461</xdr:rowOff>
    </xdr:from>
    <xdr:to>
      <xdr:col>16</xdr:col>
      <xdr:colOff>799629</xdr:colOff>
      <xdr:row>71</xdr:row>
      <xdr:rowOff>78394</xdr:rowOff>
    </xdr:to>
    <xdr:graphicFrame macro="">
      <xdr:nvGraphicFramePr>
        <xdr:cNvPr id="10" name="Chart 9">
          <a:extLst>
            <a:ext uri="{FF2B5EF4-FFF2-40B4-BE49-F238E27FC236}">
              <a16:creationId xmlns:a16="http://schemas.microsoft.com/office/drawing/2014/main" id="{7355771D-2D30-6A46-95CD-E25710CF6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397934</xdr:colOff>
      <xdr:row>3</xdr:row>
      <xdr:rowOff>101598</xdr:rowOff>
    </xdr:from>
    <xdr:to>
      <xdr:col>21</xdr:col>
      <xdr:colOff>127000</xdr:colOff>
      <xdr:row>24</xdr:row>
      <xdr:rowOff>139699</xdr:rowOff>
    </xdr:to>
    <xdr:graphicFrame macro="">
      <xdr:nvGraphicFramePr>
        <xdr:cNvPr id="11" name="Chart 10">
          <a:extLst>
            <a:ext uri="{FF2B5EF4-FFF2-40B4-BE49-F238E27FC236}">
              <a16:creationId xmlns:a16="http://schemas.microsoft.com/office/drawing/2014/main" id="{259C1C75-4832-AC4C-B99C-BFB154014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436801</xdr:colOff>
      <xdr:row>27</xdr:row>
      <xdr:rowOff>148550</xdr:rowOff>
    </xdr:from>
    <xdr:to>
      <xdr:col>22</xdr:col>
      <xdr:colOff>444500</xdr:colOff>
      <xdr:row>48</xdr:row>
      <xdr:rowOff>153939</xdr:rowOff>
    </xdr:to>
    <xdr:graphicFrame macro="">
      <xdr:nvGraphicFramePr>
        <xdr:cNvPr id="12" name="Chart 11">
          <a:extLst>
            <a:ext uri="{FF2B5EF4-FFF2-40B4-BE49-F238E27FC236}">
              <a16:creationId xmlns:a16="http://schemas.microsoft.com/office/drawing/2014/main" id="{DB59593D-CDB6-A84A-8036-39A4A1840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441376</xdr:colOff>
      <xdr:row>50</xdr:row>
      <xdr:rowOff>189876</xdr:rowOff>
    </xdr:from>
    <xdr:to>
      <xdr:col>24</xdr:col>
      <xdr:colOff>348226</xdr:colOff>
      <xdr:row>71</xdr:row>
      <xdr:rowOff>104099</xdr:rowOff>
    </xdr:to>
    <xdr:graphicFrame macro="">
      <xdr:nvGraphicFramePr>
        <xdr:cNvPr id="13" name="Chart 12">
          <a:extLst>
            <a:ext uri="{FF2B5EF4-FFF2-40B4-BE49-F238E27FC236}">
              <a16:creationId xmlns:a16="http://schemas.microsoft.com/office/drawing/2014/main" id="{B69CC1C3-C31B-804B-8091-3427ADCD9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356808</xdr:colOff>
      <xdr:row>2</xdr:row>
      <xdr:rowOff>16328</xdr:rowOff>
    </xdr:from>
    <xdr:to>
      <xdr:col>26</xdr:col>
      <xdr:colOff>533399</xdr:colOff>
      <xdr:row>24</xdr:row>
      <xdr:rowOff>154819</xdr:rowOff>
    </xdr:to>
    <xdr:graphicFrame macro="">
      <xdr:nvGraphicFramePr>
        <xdr:cNvPr id="14" name="Chart 13">
          <a:extLst>
            <a:ext uri="{FF2B5EF4-FFF2-40B4-BE49-F238E27FC236}">
              <a16:creationId xmlns:a16="http://schemas.microsoft.com/office/drawing/2014/main" id="{A24D1776-FFD3-894A-8DB0-0EF52A3B7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340530</xdr:colOff>
      <xdr:row>58</xdr:row>
      <xdr:rowOff>137236</xdr:rowOff>
    </xdr:from>
    <xdr:to>
      <xdr:col>5</xdr:col>
      <xdr:colOff>790054</xdr:colOff>
      <xdr:row>75</xdr:row>
      <xdr:rowOff>53644</xdr:rowOff>
    </xdr:to>
    <xdr:graphicFrame macro="">
      <xdr:nvGraphicFramePr>
        <xdr:cNvPr id="4" name="Chart 3">
          <a:extLst>
            <a:ext uri="{FF2B5EF4-FFF2-40B4-BE49-F238E27FC236}">
              <a16:creationId xmlns:a16="http://schemas.microsoft.com/office/drawing/2014/main" id="{F76D0595-44A0-E08E-7804-B62B1A4D5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81</xdr:row>
      <xdr:rowOff>0</xdr:rowOff>
    </xdr:from>
    <xdr:to>
      <xdr:col>7</xdr:col>
      <xdr:colOff>1150731</xdr:colOff>
      <xdr:row>113</xdr:row>
      <xdr:rowOff>87243</xdr:rowOff>
    </xdr:to>
    <xdr:graphicFrame macro="">
      <xdr:nvGraphicFramePr>
        <xdr:cNvPr id="3" name="Chart 2">
          <a:extLst>
            <a:ext uri="{FF2B5EF4-FFF2-40B4-BE49-F238E27FC236}">
              <a16:creationId xmlns:a16="http://schemas.microsoft.com/office/drawing/2014/main" id="{F14CD662-8341-B44B-8167-2FDC0F871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link.springer.com/article/10.1007/s10344-009-0350-8" TargetMode="External"/><Relationship Id="rId21" Type="http://schemas.openxmlformats.org/officeDocument/2006/relationships/hyperlink" Target="https://www.sciencedirect.com/science/article/pii/S0016648004000620" TargetMode="External"/><Relationship Id="rId42" Type="http://schemas.openxmlformats.org/officeDocument/2006/relationships/hyperlink" Target="https://peerj.com/articles/1590/" TargetMode="External"/><Relationship Id="rId47" Type="http://schemas.openxmlformats.org/officeDocument/2006/relationships/hyperlink" Target="https://link.springer.com/article/10.1007/s10764-008-9308-z" TargetMode="External"/><Relationship Id="rId63" Type="http://schemas.openxmlformats.org/officeDocument/2006/relationships/hyperlink" Target="https://academic.oup.com/jmammal/article/98/5/1288/4096804" TargetMode="External"/><Relationship Id="rId68" Type="http://schemas.openxmlformats.org/officeDocument/2006/relationships/hyperlink" Target="https://www.sciencedirect.com/science/article/pii/S2773093X22000113?ref=pdf_download&amp;fr=RR-2&amp;rr=8f636f01098c6db6" TargetMode="External"/><Relationship Id="rId84" Type="http://schemas.openxmlformats.org/officeDocument/2006/relationships/drawing" Target="../drawings/drawing1.xml"/><Relationship Id="rId16" Type="http://schemas.openxmlformats.org/officeDocument/2006/relationships/hyperlink" Target="https://www.sciencedirect.com/science/article/pii/S0016648013004048" TargetMode="External"/><Relationship Id="rId11" Type="http://schemas.openxmlformats.org/officeDocument/2006/relationships/hyperlink" Target="https://onlinelibrary.wiley.com/doi/full/10.1002/zoo.21119" TargetMode="External"/><Relationship Id="rId32" Type="http://schemas.openxmlformats.org/officeDocument/2006/relationships/hyperlink" Target="https://link.springer.com/article/10.1186/s12917-016-0864-8" TargetMode="External"/><Relationship Id="rId37" Type="http://schemas.openxmlformats.org/officeDocument/2006/relationships/hyperlink" Target="https://www.sciencedirect.com/science/article/pii/S001664801200202X" TargetMode="External"/><Relationship Id="rId53" Type="http://schemas.openxmlformats.org/officeDocument/2006/relationships/hyperlink" Target="https://www.sciencedirect.com/science/article/pii/S0016648004000620" TargetMode="External"/><Relationship Id="rId58" Type="http://schemas.openxmlformats.org/officeDocument/2006/relationships/hyperlink" Target="https://www.researchgate.net/profile/Regina-Paz/publication/269544331_Evaluation_of_Glucocorticoid_Faecal_Monitoring_as_a_Non-Invasive_Assessment_of_Stress_in_Captive_Crab-Eating_Fox_Cerdocyoun_thous_After_ACTH_Stimulation/links/54c6276d0cf256ed5a9ca591/Evaluation-of-Glucocorticoid-Faecal-Monitoring-as-a-Non-Invasive-Assessment-of-Stress-in-Captive-Crab-Eating-Fox-Cerdocyoun-thous-After-ACTH-Stimulation.pdf?_sg%5B0%5D=started_experiment_milestone&amp;origin=journalDetail" TargetMode="External"/><Relationship Id="rId74" Type="http://schemas.openxmlformats.org/officeDocument/2006/relationships/hyperlink" Target="https://www.sciencedirect.com/science/article/pii/S0016648004000620" TargetMode="External"/><Relationship Id="rId79" Type="http://schemas.openxmlformats.org/officeDocument/2006/relationships/hyperlink" Target="https://www.sciencedirect.com/science/article/pii/S0016648004000620" TargetMode="External"/><Relationship Id="rId5" Type="http://schemas.openxmlformats.org/officeDocument/2006/relationships/hyperlink" Target="https://www.mdpi.com/2076-2615/12/6/672" TargetMode="External"/><Relationship Id="rId61" Type="http://schemas.openxmlformats.org/officeDocument/2006/relationships/hyperlink" Target="https://www.ncbi.nlm.nih.gov/pmc/articles/PMC9047137/" TargetMode="External"/><Relationship Id="rId82" Type="http://schemas.openxmlformats.org/officeDocument/2006/relationships/hyperlink" Target="https://www.sciencedirect.com/science/article/pii/S0016648004000620" TargetMode="External"/><Relationship Id="rId19" Type="http://schemas.openxmlformats.org/officeDocument/2006/relationships/hyperlink" Target="https://www.ingentaconnect.com/content/aalas/jaalas/2005/00000044/00000003/art00003" TargetMode="External"/><Relationship Id="rId14" Type="http://schemas.openxmlformats.org/officeDocument/2006/relationships/hyperlink" Target="https://bioone.org/journals/journal-of-zoo-and-wildlife-medicine/volume-43/issue-2/2011-0046.1/VALIDATION-OF-A-FECAL-GLUCOCORTICOID-METABOLITE-ASSAY-FOR-COLLARED-PECCARIES/10.1638/2011-0046.1.full" TargetMode="External"/><Relationship Id="rId22" Type="http://schemas.openxmlformats.org/officeDocument/2006/relationships/hyperlink" Target="https://www.sciencedirect.com/science/article/pii/S0016648012003280" TargetMode="External"/><Relationship Id="rId27" Type="http://schemas.openxmlformats.org/officeDocument/2006/relationships/hyperlink" Target="https://www.sciencedirect.com/science/article/pii/S0016648012002626" TargetMode="External"/><Relationship Id="rId30" Type="http://schemas.openxmlformats.org/officeDocument/2006/relationships/hyperlink" Target="https://link.springer.com/article/10.1007/s10764-011-9532-9" TargetMode="External"/><Relationship Id="rId35" Type="http://schemas.openxmlformats.org/officeDocument/2006/relationships/hyperlink" Target="https://zslpublications.onlinelibrary.wiley.com/doi/full/10.1111/j.1469-1795.2008.00175.x" TargetMode="External"/><Relationship Id="rId43" Type="http://schemas.openxmlformats.org/officeDocument/2006/relationships/hyperlink" Target="https://www.sciencedirect.com/science/article/pii/S0016648001976567" TargetMode="External"/><Relationship Id="rId48" Type="http://schemas.openxmlformats.org/officeDocument/2006/relationships/hyperlink" Target="https://brill.com/view/journals/ab/61/3/article-p335_8.xml" TargetMode="External"/><Relationship Id="rId56" Type="http://schemas.openxmlformats.org/officeDocument/2006/relationships/hyperlink" Target="https://journals.co.za/doi/abs/10.3957/056.051.0090" TargetMode="External"/><Relationship Id="rId64" Type="http://schemas.openxmlformats.org/officeDocument/2006/relationships/hyperlink" Target="https://onlinelibrary.wiley.com/doi/abs/10.1002/jez.546" TargetMode="External"/><Relationship Id="rId69" Type="http://schemas.openxmlformats.org/officeDocument/2006/relationships/hyperlink" Target="https://link.springer.com/article/10.1007/s10764-011-9532-9" TargetMode="External"/><Relationship Id="rId77" Type="http://schemas.openxmlformats.org/officeDocument/2006/relationships/hyperlink" Target="https://www.sciencedirect.com/science/article/pii/S0016648012003280" TargetMode="External"/><Relationship Id="rId8" Type="http://schemas.openxmlformats.org/officeDocument/2006/relationships/hyperlink" Target="https://www.sciencedirect.com/science/article/pii/S0016648004000620" TargetMode="External"/><Relationship Id="rId51" Type="http://schemas.openxmlformats.org/officeDocument/2006/relationships/hyperlink" Target="https://link.springer.com/article/10.1007/s10329-016-0590-7" TargetMode="External"/><Relationship Id="rId72" Type="http://schemas.openxmlformats.org/officeDocument/2006/relationships/hyperlink" Target="https://www.sciencedirect.com/science/article/pii/S0016648004000620" TargetMode="External"/><Relationship Id="rId80" Type="http://schemas.openxmlformats.org/officeDocument/2006/relationships/hyperlink" Target="https://journals.plos.org/plosone/article?id=10.1371/journal.pone.0249281" TargetMode="External"/><Relationship Id="rId3" Type="http://schemas.openxmlformats.org/officeDocument/2006/relationships/hyperlink" Target="https://link.springer.com/article/10.1007/s00300-021-02917-1" TargetMode="External"/><Relationship Id="rId12" Type="http://schemas.openxmlformats.org/officeDocument/2006/relationships/hyperlink" Target="https://www.sciencedirect.com/science/article/pii/S0018506X07000384" TargetMode="External"/><Relationship Id="rId17" Type="http://schemas.openxmlformats.org/officeDocument/2006/relationships/hyperlink" Target="https://www.scielo.br/j/bjmbr/a/V7KxBNKSzPQcXTtXqppSBCj/?lang=en" TargetMode="External"/><Relationship Id="rId25" Type="http://schemas.openxmlformats.org/officeDocument/2006/relationships/hyperlink" Target="https://www.sciencedirect.com/science/article/pii/S0016648004000620" TargetMode="External"/><Relationship Id="rId33" Type="http://schemas.openxmlformats.org/officeDocument/2006/relationships/hyperlink" Target="https://www.sciencedirect.com/science/article/pii/S0031938403003329" TargetMode="External"/><Relationship Id="rId38" Type="http://schemas.openxmlformats.org/officeDocument/2006/relationships/hyperlink" Target="https://journals.co.za/doi/abs/10.3957/056.051.0093" TargetMode="External"/><Relationship Id="rId46" Type="http://schemas.openxmlformats.org/officeDocument/2006/relationships/hyperlink" Target="https://link.springer.com/article/10.1007/s10344-009-0350-8" TargetMode="External"/><Relationship Id="rId59" Type="http://schemas.openxmlformats.org/officeDocument/2006/relationships/hyperlink" Target="https://www.sciencedirect.com/science/article/pii/S0016648004000620" TargetMode="External"/><Relationship Id="rId67" Type="http://schemas.openxmlformats.org/officeDocument/2006/relationships/hyperlink" Target="https://www.mdpi.com/2076-2615/11/1/75" TargetMode="External"/><Relationship Id="rId20" Type="http://schemas.openxmlformats.org/officeDocument/2006/relationships/hyperlink" Target="https://www.jstor.org/stable/3784245?seq=1" TargetMode="External"/><Relationship Id="rId41" Type="http://schemas.openxmlformats.org/officeDocument/2006/relationships/hyperlink" Target="https://bioone.org/journals/journal-of-zoo-and-wildlife-medicine/volume-33/issue-3/1042-7260_2002_033_0214_RAOSIW_2.0.CO_2/REMOTE-ASSESSMENT-OF-STRESS-IN-WHITE-RHINOCEROS-CERATOTHERIUM-SIMUM-AND/10.1638/1042-7260(2002)033%5b0214:RAOSIW%5d2.0.CO;2.full" TargetMode="External"/><Relationship Id="rId54" Type="http://schemas.openxmlformats.org/officeDocument/2006/relationships/hyperlink" Target="https://www.sciencedirect.com/science/article/pii/S0016648004000620" TargetMode="External"/><Relationship Id="rId62" Type="http://schemas.openxmlformats.org/officeDocument/2006/relationships/hyperlink" Target="https://www.sciencedirect.com/science/article/pii/S001664801300453X" TargetMode="External"/><Relationship Id="rId70" Type="http://schemas.openxmlformats.org/officeDocument/2006/relationships/hyperlink" Target="https://link.springer.com/article/10.1007/s10764-011-9532-9" TargetMode="External"/><Relationship Id="rId75" Type="http://schemas.openxmlformats.org/officeDocument/2006/relationships/hyperlink" Target="https://link.springer.com/article/10.1186/s12917-016-0864-8" TargetMode="External"/><Relationship Id="rId83" Type="http://schemas.openxmlformats.org/officeDocument/2006/relationships/hyperlink" Target="https://www.researchgate.net/profile/Justin-St-Juliana/publication/331724590_Physiological_validation_of_a_non-invasive_method_to_evaluate_adrenocortical_activity_and_the_time_course_for_the_excretion_of_stress_hormones_in_the_feces_of_three_species_of_desert_gerbils/links/5f733bbda6fdcc008645517a/Physiological-validation-of-a-non-invasive-method-to-evaluate-adrenocortical-activity-and-the-time-course-for-the-excretion-of-stress-hormones-in-the-feces-of-three-species-of-desert-gerbils.pdf" TargetMode="External"/><Relationship Id="rId1" Type="http://schemas.openxmlformats.org/officeDocument/2006/relationships/hyperlink" Target="https://www.sciencedirect.com/science/article/pii/S0022030213002920?via%3Dihub" TargetMode="External"/><Relationship Id="rId6" Type="http://schemas.openxmlformats.org/officeDocument/2006/relationships/hyperlink" Target="https://www.sciencedirect.com/science/article/pii/S0016648017308535" TargetMode="External"/><Relationship Id="rId15" Type="http://schemas.openxmlformats.org/officeDocument/2006/relationships/hyperlink" Target="https://www.sciencedirect.com/science/article/pii/S0018506X04000145" TargetMode="External"/><Relationship Id="rId23" Type="http://schemas.openxmlformats.org/officeDocument/2006/relationships/hyperlink" Target="https://www.sciencedirect.com/science/article/pii/S0016648013004292" TargetMode="External"/><Relationship Id="rId28" Type="http://schemas.openxmlformats.org/officeDocument/2006/relationships/hyperlink" Target="https://www.jstor.org/stable/20095734" TargetMode="External"/><Relationship Id="rId36" Type="http://schemas.openxmlformats.org/officeDocument/2006/relationships/hyperlink" Target="https://www.mdpi.com/2076-2615/11/9/2723" TargetMode="External"/><Relationship Id="rId49" Type="http://schemas.openxmlformats.org/officeDocument/2006/relationships/hyperlink" Target="https://www.sciencedirect.com/science/article/pii/S003193840800187X" TargetMode="External"/><Relationship Id="rId57" Type="http://schemas.openxmlformats.org/officeDocument/2006/relationships/hyperlink" Target="https://journals.co.za/doi/abs/10.3957/056.051.0090" TargetMode="External"/><Relationship Id="rId10" Type="http://schemas.openxmlformats.org/officeDocument/2006/relationships/hyperlink" Target="https://link.springer.com/article/10.1007/s10764-017-9993-6" TargetMode="External"/><Relationship Id="rId31" Type="http://schemas.openxmlformats.org/officeDocument/2006/relationships/hyperlink" Target="https://www.sciencedirect.com/science/article/pii/S0016648012003255" TargetMode="External"/><Relationship Id="rId44" Type="http://schemas.openxmlformats.org/officeDocument/2006/relationships/hyperlink" Target="https://www.researchgate.net/profile/Rupert-Palme/publication/235952868_Physiological_validation_of_a_non-invasive_method_for_measuring_adrenocortical_activity_in_goats/links/00463514b168495c01000000/Physiological-validation-of-a-non-invasive-method-for-measuring-adrenocortical-activity-in-goats.pdf" TargetMode="External"/><Relationship Id="rId52" Type="http://schemas.openxmlformats.org/officeDocument/2006/relationships/hyperlink" Target="https://www.journals.uchicago.edu/doi/full/10.1086/380209" TargetMode="External"/><Relationship Id="rId60" Type="http://schemas.openxmlformats.org/officeDocument/2006/relationships/hyperlink" Target="https://journals.plos.org/plosone/article?id=10.1371/journal.pone.0249281" TargetMode="External"/><Relationship Id="rId65" Type="http://schemas.openxmlformats.org/officeDocument/2006/relationships/hyperlink" Target="https://www.sciencedirect.com/science/article/pii/S0016648011001432" TargetMode="External"/><Relationship Id="rId73" Type="http://schemas.openxmlformats.org/officeDocument/2006/relationships/hyperlink" Target="https://www.sciencedirect.com/science/article/pii/S0016648004000620" TargetMode="External"/><Relationship Id="rId78" Type="http://schemas.openxmlformats.org/officeDocument/2006/relationships/hyperlink" Target="https://www.sciencedirect.com/science/article/pii/S0016648004000620" TargetMode="External"/><Relationship Id="rId81" Type="http://schemas.openxmlformats.org/officeDocument/2006/relationships/hyperlink" Target="https://www.sciencedirect.com/science/article/pii/S0016648004000620" TargetMode="External"/><Relationship Id="rId4" Type="http://schemas.openxmlformats.org/officeDocument/2006/relationships/hyperlink" Target="https://www.sciencedirect.com/science/article/pii/S0016648004000620" TargetMode="External"/><Relationship Id="rId9" Type="http://schemas.openxmlformats.org/officeDocument/2006/relationships/hyperlink" Target="https://www.journals.uchicago.edu/doi/full/10.1086/597530" TargetMode="External"/><Relationship Id="rId13" Type="http://schemas.openxmlformats.org/officeDocument/2006/relationships/hyperlink" Target="https://www.mdpi.com/2076-2615/10/7/1120" TargetMode="External"/><Relationship Id="rId18" Type="http://schemas.openxmlformats.org/officeDocument/2006/relationships/hyperlink" Target="https://www.mdpi.com/2076-2615/11/7/1877" TargetMode="External"/><Relationship Id="rId39" Type="http://schemas.openxmlformats.org/officeDocument/2006/relationships/hyperlink" Target="https://www.sciencedirect.com/science/article/pii/S0016648023001430" TargetMode="External"/><Relationship Id="rId34" Type="http://schemas.openxmlformats.org/officeDocument/2006/relationships/hyperlink" Target="https://www.int-res.com/abstracts/esr/v34/p417-429/" TargetMode="External"/><Relationship Id="rId50" Type="http://schemas.openxmlformats.org/officeDocument/2006/relationships/hyperlink" Target="https://www.sciencedirect.com/science/article/pii/S0016648004000620" TargetMode="External"/><Relationship Id="rId55" Type="http://schemas.openxmlformats.org/officeDocument/2006/relationships/hyperlink" Target="https://www.sciencedirect.com/science/article/pii/S0016648012003255" TargetMode="External"/><Relationship Id="rId76" Type="http://schemas.openxmlformats.org/officeDocument/2006/relationships/hyperlink" Target="https://www.sciencedirect.com/science/article/pii/S0016648004000620" TargetMode="External"/><Relationship Id="rId7" Type="http://schemas.openxmlformats.org/officeDocument/2006/relationships/hyperlink" Target="https://www.sciencedirect.com/science/article/pii/S0016648012001426" TargetMode="External"/><Relationship Id="rId71" Type="http://schemas.openxmlformats.org/officeDocument/2006/relationships/hyperlink" Target="https://www.sciencedirect.com/science/article/pii/S003193840800187X" TargetMode="External"/><Relationship Id="rId2" Type="http://schemas.openxmlformats.org/officeDocument/2006/relationships/hyperlink" Target="https://www.sciencedirect.com/science/article/pii/S0168159117302502" TargetMode="External"/><Relationship Id="rId29" Type="http://schemas.openxmlformats.org/officeDocument/2006/relationships/hyperlink" Target="https://link.springer.com/article/10.1007/s00360-008-0314-4" TargetMode="External"/><Relationship Id="rId24" Type="http://schemas.openxmlformats.org/officeDocument/2006/relationships/hyperlink" Target="https://link.springer.com/article/10.1007/s00360-010-0467-9" TargetMode="External"/><Relationship Id="rId40" Type="http://schemas.openxmlformats.org/officeDocument/2006/relationships/hyperlink" Target="https://www.jstor.org/stable/3784417?seq=1" TargetMode="External"/><Relationship Id="rId45" Type="http://schemas.openxmlformats.org/officeDocument/2006/relationships/hyperlink" Target="https://link.springer.com/article/10.1007/s11250-013-0374-7" TargetMode="External"/><Relationship Id="rId66" Type="http://schemas.openxmlformats.org/officeDocument/2006/relationships/hyperlink" Target="https://www.mdpi.com/2076-2615/11/1/75"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link.springer.com/article/10.1007/s00360-010-0467-9" TargetMode="External"/><Relationship Id="rId21" Type="http://schemas.openxmlformats.org/officeDocument/2006/relationships/hyperlink" Target="https://www.ingentaconnect.com/content/aalas/jaalas/2005/00000044/00000003/art00003" TargetMode="External"/><Relationship Id="rId42" Type="http://schemas.openxmlformats.org/officeDocument/2006/relationships/hyperlink" Target="https://www.sciencedirect.com/science/article/pii/S001664801200202X" TargetMode="External"/><Relationship Id="rId47" Type="http://schemas.openxmlformats.org/officeDocument/2006/relationships/hyperlink" Target="https://peerj.com/articles/1590/" TargetMode="External"/><Relationship Id="rId63" Type="http://schemas.openxmlformats.org/officeDocument/2006/relationships/hyperlink" Target="https://www.researchgate.net/profile/Regina-Paz/publication/269544331_Evaluation_of_Glucocorticoid_Faecal_Monitoring_as_a_Non-Invasive_Assessment_of_Stress_in_Captive_Crab-Eating_Fox_Cerdocyoun_thous_After_ACTH_Stimulation/links/54c6276d0cf256ed5a9ca591/Evaluation-of-Glucocorticoid-Faecal-Monitoring-as-a-Non-Invasive-Assessment-of-Stress-in-Captive-Crab-Eating-Fox-Cerdocyoun-thous-After-ACTH-Stimulation.pdf?_sg%5B0%5D=started_experiment_milestone&amp;origin=journalDetail" TargetMode="External"/><Relationship Id="rId68" Type="http://schemas.openxmlformats.org/officeDocument/2006/relationships/hyperlink" Target="https://academic.oup.com/jmammal/article/98/5/1288/4096804" TargetMode="External"/><Relationship Id="rId16" Type="http://schemas.openxmlformats.org/officeDocument/2006/relationships/hyperlink" Target="https://www.sciencedirect.com/science/article/pii/S0018506X04000145" TargetMode="External"/><Relationship Id="rId11" Type="http://schemas.openxmlformats.org/officeDocument/2006/relationships/hyperlink" Target="https://onlinelibrary.wiley.com/doi/full/10.1002/zoo.21119" TargetMode="External"/><Relationship Id="rId24" Type="http://schemas.openxmlformats.org/officeDocument/2006/relationships/hyperlink" Target="https://www.sciencedirect.com/science/article/pii/S0016648012003280" TargetMode="External"/><Relationship Id="rId32" Type="http://schemas.openxmlformats.org/officeDocument/2006/relationships/hyperlink" Target="https://link.springer.com/article/10.1007/s10344-009-0297-9" TargetMode="External"/><Relationship Id="rId37" Type="http://schemas.openxmlformats.org/officeDocument/2006/relationships/hyperlink" Target="https://link.springer.com/article/10.1186/s12917-016-0864-8" TargetMode="External"/><Relationship Id="rId40" Type="http://schemas.openxmlformats.org/officeDocument/2006/relationships/hyperlink" Target="https://zslpublications.onlinelibrary.wiley.com/doi/full/10.1111/j.1469-1795.2008.00175.x" TargetMode="External"/><Relationship Id="rId45" Type="http://schemas.openxmlformats.org/officeDocument/2006/relationships/hyperlink" Target="https://www.jstor.org/stable/3784417?seq=1" TargetMode="External"/><Relationship Id="rId53" Type="http://schemas.openxmlformats.org/officeDocument/2006/relationships/hyperlink" Target="https://www.sciencedirect.com/science/article/pii/S003193840800187X" TargetMode="External"/><Relationship Id="rId58" Type="http://schemas.openxmlformats.org/officeDocument/2006/relationships/hyperlink" Target="https://www.sciencedirect.com/science/article/pii/S0016648004000620" TargetMode="External"/><Relationship Id="rId66" Type="http://schemas.openxmlformats.org/officeDocument/2006/relationships/hyperlink" Target="https://www.ncbi.nlm.nih.gov/pmc/articles/PMC9047137/" TargetMode="External"/><Relationship Id="rId74" Type="http://schemas.openxmlformats.org/officeDocument/2006/relationships/hyperlink" Target="https://journals.co.za/doi/abs/10.3957/056.051.0090" TargetMode="External"/><Relationship Id="rId79" Type="http://schemas.openxmlformats.org/officeDocument/2006/relationships/drawing" Target="../drawings/drawing2.xml"/><Relationship Id="rId5" Type="http://schemas.openxmlformats.org/officeDocument/2006/relationships/hyperlink" Target="https://www.mdpi.com/2076-2615/12/6/672" TargetMode="External"/><Relationship Id="rId61" Type="http://schemas.openxmlformats.org/officeDocument/2006/relationships/hyperlink" Target="https://journals.co.za/doi/abs/10.3957/056.051.0090" TargetMode="External"/><Relationship Id="rId19" Type="http://schemas.openxmlformats.org/officeDocument/2006/relationships/hyperlink" Target="https://www.mdpi.com/2076-2615/11/7/1877" TargetMode="External"/><Relationship Id="rId14" Type="http://schemas.openxmlformats.org/officeDocument/2006/relationships/hyperlink" Target="https://www.mdpi.com/2076-2615/10/7/1120" TargetMode="External"/><Relationship Id="rId22" Type="http://schemas.openxmlformats.org/officeDocument/2006/relationships/hyperlink" Target="https://www.jstor.org/stable/3784245?seq=1" TargetMode="External"/><Relationship Id="rId27" Type="http://schemas.openxmlformats.org/officeDocument/2006/relationships/hyperlink" Target="https://www.sciencedirect.com/science/article/pii/S0016648004000620" TargetMode="External"/><Relationship Id="rId30" Type="http://schemas.openxmlformats.org/officeDocument/2006/relationships/hyperlink" Target="https://www.jstor.org/stable/20095734" TargetMode="External"/><Relationship Id="rId35" Type="http://schemas.openxmlformats.org/officeDocument/2006/relationships/hyperlink" Target="https://link.springer.com/article/10.1007/s10764-011-9532-9" TargetMode="External"/><Relationship Id="rId43" Type="http://schemas.openxmlformats.org/officeDocument/2006/relationships/hyperlink" Target="https://journals.co.za/doi/abs/10.3957/056.051.0093" TargetMode="External"/><Relationship Id="rId48" Type="http://schemas.openxmlformats.org/officeDocument/2006/relationships/hyperlink" Target="https://www.sciencedirect.com/science/article/pii/S0016648001976567" TargetMode="External"/><Relationship Id="rId56" Type="http://schemas.openxmlformats.org/officeDocument/2006/relationships/hyperlink" Target="https://link.springer.com/article/10.1007/s10329-016-0590-7" TargetMode="External"/><Relationship Id="rId64" Type="http://schemas.openxmlformats.org/officeDocument/2006/relationships/hyperlink" Target="https://www.sciencedirect.com/science/article/pii/S0016648004000620" TargetMode="External"/><Relationship Id="rId69" Type="http://schemas.openxmlformats.org/officeDocument/2006/relationships/hyperlink" Target="https://onlinelibrary.wiley.com/doi/abs/10.1002/jez.546" TargetMode="External"/><Relationship Id="rId77" Type="http://schemas.openxmlformats.org/officeDocument/2006/relationships/hyperlink" Target="https://link.springer.com/article/10.1007/s10764-017-9993-6" TargetMode="External"/><Relationship Id="rId8" Type="http://schemas.openxmlformats.org/officeDocument/2006/relationships/hyperlink" Target="https://www.sciencedirect.com/science/article/pii/S0016648012001426" TargetMode="External"/><Relationship Id="rId51" Type="http://schemas.openxmlformats.org/officeDocument/2006/relationships/hyperlink" Target="https://link.springer.com/article/10.1007/s10344-009-0350-8" TargetMode="External"/><Relationship Id="rId72" Type="http://schemas.openxmlformats.org/officeDocument/2006/relationships/hyperlink" Target="https://www.mdpi.com/2076-2615/11/1/75" TargetMode="External"/><Relationship Id="rId3" Type="http://schemas.openxmlformats.org/officeDocument/2006/relationships/hyperlink" Target="https://link.springer.com/article/10.1007/s00300-021-02917-1" TargetMode="External"/><Relationship Id="rId12" Type="http://schemas.openxmlformats.org/officeDocument/2006/relationships/hyperlink" Target="https://www.sciencedirect.com/science/article/pii/S0018506X07000384" TargetMode="External"/><Relationship Id="rId17" Type="http://schemas.openxmlformats.org/officeDocument/2006/relationships/hyperlink" Target="https://www.sciencedirect.com/science/article/pii/S0016648013004048" TargetMode="External"/><Relationship Id="rId25" Type="http://schemas.openxmlformats.org/officeDocument/2006/relationships/hyperlink" Target="https://www.sciencedirect.com/science/article/pii/S0016648013004292" TargetMode="External"/><Relationship Id="rId33" Type="http://schemas.openxmlformats.org/officeDocument/2006/relationships/hyperlink" Target="https://link.springer.com/article/10.1007/s00360-008-0314-4" TargetMode="External"/><Relationship Id="rId38" Type="http://schemas.openxmlformats.org/officeDocument/2006/relationships/hyperlink" Target="https://www.sciencedirect.com/science/article/pii/S0031938403003329" TargetMode="External"/><Relationship Id="rId46" Type="http://schemas.openxmlformats.org/officeDocument/2006/relationships/hyperlink" Target="https://bioone.org/journals/journal-of-zoo-and-wildlife-medicine/volume-33/issue-3/1042-7260_2002_033_0214_RAOSIW_2.0.CO_2/REMOTE-ASSESSMENT-OF-STRESS-IN-WHITE-RHINOCEROS-CERATOTHERIUM-SIMUM-AND/10.1638/1042-7260(2002)033%5b0214:RAOSIW%5d2.0.CO;2.full" TargetMode="External"/><Relationship Id="rId59" Type="http://schemas.openxmlformats.org/officeDocument/2006/relationships/hyperlink" Target="https://www.sciencedirect.com/science/article/pii/S0016648004000620" TargetMode="External"/><Relationship Id="rId67" Type="http://schemas.openxmlformats.org/officeDocument/2006/relationships/hyperlink" Target="https://www.sciencedirect.com/science/article/pii/S001664801300453X" TargetMode="External"/><Relationship Id="rId20" Type="http://schemas.openxmlformats.org/officeDocument/2006/relationships/hyperlink" Target="https://onlinelibrary.wiley.com/doi/epdf/10.1002/%28SICI%291098-2345%281998%2944%3A1%3C57%3A%3AAID-AJP5%3E3.0.CO%3B2-W" TargetMode="External"/><Relationship Id="rId41" Type="http://schemas.openxmlformats.org/officeDocument/2006/relationships/hyperlink" Target="https://www.mdpi.com/2076-2615/11/9/2723" TargetMode="External"/><Relationship Id="rId54" Type="http://schemas.openxmlformats.org/officeDocument/2006/relationships/hyperlink" Target="https://www.sciencedirect.com/science/article/pii/S003193840800187X" TargetMode="External"/><Relationship Id="rId62" Type="http://schemas.openxmlformats.org/officeDocument/2006/relationships/hyperlink" Target="https://onlinelibrary.wiley.com/doi/full/10.1002/zoo.21100" TargetMode="External"/><Relationship Id="rId70" Type="http://schemas.openxmlformats.org/officeDocument/2006/relationships/hyperlink" Target="https://www.sciencedirect.com/science/article/pii/S0016648011001432" TargetMode="External"/><Relationship Id="rId75" Type="http://schemas.openxmlformats.org/officeDocument/2006/relationships/hyperlink" Target="https://link.springer.com/article/10.1007/s10764-008-9308-z" TargetMode="External"/><Relationship Id="rId1" Type="http://schemas.openxmlformats.org/officeDocument/2006/relationships/hyperlink" Target="https://www.sciencedirect.com/science/article/pii/S0022030213002920?via%3Dihub" TargetMode="External"/><Relationship Id="rId6" Type="http://schemas.openxmlformats.org/officeDocument/2006/relationships/hyperlink" Target="https://zslpublications.onlinelibrary.wiley.com/doi/full/10.1111/j.1469-7998.2011.00888.x" TargetMode="External"/><Relationship Id="rId15" Type="http://schemas.openxmlformats.org/officeDocument/2006/relationships/hyperlink" Target="https://bioone.org/journals/journal-of-zoo-and-wildlife-medicine/volume-43/issue-2/2011-0046.1/VALIDATION-OF-A-FECAL-GLUCOCORTICOID-METABOLITE-ASSAY-FOR-COLLARED-PECCARIES/10.1638/2011-0046.1.full" TargetMode="External"/><Relationship Id="rId23" Type="http://schemas.openxmlformats.org/officeDocument/2006/relationships/hyperlink" Target="https://www.sciencedirect.com/science/article/pii/S0016648004000620" TargetMode="External"/><Relationship Id="rId28" Type="http://schemas.openxmlformats.org/officeDocument/2006/relationships/hyperlink" Target="https://link.springer.com/article/10.1007/s10344-009-0350-8" TargetMode="External"/><Relationship Id="rId36" Type="http://schemas.openxmlformats.org/officeDocument/2006/relationships/hyperlink" Target="https://www.sciencedirect.com/science/article/pii/S0016648012003255" TargetMode="External"/><Relationship Id="rId49" Type="http://schemas.openxmlformats.org/officeDocument/2006/relationships/hyperlink" Target="https://www.researchgate.net/profile/Rupert-Palme/publication/235952868_Physiological_validation_of_a_non-invasive_method_for_measuring_adrenocortical_activity_in_goats/links/00463514b168495c01000000/Physiological-validation-of-a-non-invasive-method-for-measuring-adrenocortical-activity-in-goats.pdf" TargetMode="External"/><Relationship Id="rId57" Type="http://schemas.openxmlformats.org/officeDocument/2006/relationships/hyperlink" Target="https://www.journals.uchicago.edu/doi/full/10.1086/380209" TargetMode="External"/><Relationship Id="rId10" Type="http://schemas.openxmlformats.org/officeDocument/2006/relationships/hyperlink" Target="https://www.journals.uchicago.edu/doi/full/10.1086/597530" TargetMode="External"/><Relationship Id="rId31" Type="http://schemas.openxmlformats.org/officeDocument/2006/relationships/hyperlink" Target="https://academic.oup.com/conphys/article/11/1/coad053/7234328" TargetMode="External"/><Relationship Id="rId44" Type="http://schemas.openxmlformats.org/officeDocument/2006/relationships/hyperlink" Target="https://www.sciencedirect.com/science/article/pii/S0016648023001430" TargetMode="External"/><Relationship Id="rId52" Type="http://schemas.openxmlformats.org/officeDocument/2006/relationships/hyperlink" Target="https://brill.com/view/journals/ab/61/3/article-p335_8.xml" TargetMode="External"/><Relationship Id="rId60" Type="http://schemas.openxmlformats.org/officeDocument/2006/relationships/hyperlink" Target="https://www.sciencedirect.com/science/article/pii/S0016648012003255" TargetMode="External"/><Relationship Id="rId65" Type="http://schemas.openxmlformats.org/officeDocument/2006/relationships/hyperlink" Target="https://journals.plos.org/plosone/article?id=10.1371/journal.pone.0249281" TargetMode="External"/><Relationship Id="rId73" Type="http://schemas.openxmlformats.org/officeDocument/2006/relationships/hyperlink" Target="https://link.springer.com/article/10.1007/s10764-013-9703-y" TargetMode="External"/><Relationship Id="rId78" Type="http://schemas.openxmlformats.org/officeDocument/2006/relationships/hyperlink" Target="https://onlinelibrary.wiley.com/doi/abs/10.1002/(SICI)1096-8644(199702)102:2%3C265::AID-AJPA8%3E3.0.CO;2-X" TargetMode="External"/><Relationship Id="rId4" Type="http://schemas.openxmlformats.org/officeDocument/2006/relationships/hyperlink" Target="https://www.sciencedirect.com/science/article/pii/S0016648004000620" TargetMode="External"/><Relationship Id="rId9" Type="http://schemas.openxmlformats.org/officeDocument/2006/relationships/hyperlink" Target="https://www.sciencedirect.com/science/article/pii/S0016648004000620" TargetMode="External"/><Relationship Id="rId13" Type="http://schemas.openxmlformats.org/officeDocument/2006/relationships/hyperlink" Target="https://journals.plos.org/plosone/article?id=10.1371/journal.pone.0230239" TargetMode="External"/><Relationship Id="rId18" Type="http://schemas.openxmlformats.org/officeDocument/2006/relationships/hyperlink" Target="https://www.scielo.br/j/bjmbr/a/V7KxBNKSzPQcXTtXqppSBCj/?lang=en" TargetMode="External"/><Relationship Id="rId39" Type="http://schemas.openxmlformats.org/officeDocument/2006/relationships/hyperlink" Target="https://www.int-res.com/abstracts/esr/v34/p417-429/" TargetMode="External"/><Relationship Id="rId34" Type="http://schemas.openxmlformats.org/officeDocument/2006/relationships/hyperlink" Target="https://link.springer.com/article/10.1007/s10764-011-9532-9" TargetMode="External"/><Relationship Id="rId50" Type="http://schemas.openxmlformats.org/officeDocument/2006/relationships/hyperlink" Target="https://link.springer.com/article/10.1007/s11250-013-0374-7" TargetMode="External"/><Relationship Id="rId55" Type="http://schemas.openxmlformats.org/officeDocument/2006/relationships/hyperlink" Target="https://www.sciencedirect.com/science/article/pii/S0016648004000620" TargetMode="External"/><Relationship Id="rId76" Type="http://schemas.openxmlformats.org/officeDocument/2006/relationships/hyperlink" Target="https://link.springer.com/article/10.1007/s10764-013-9703-y" TargetMode="External"/><Relationship Id="rId7" Type="http://schemas.openxmlformats.org/officeDocument/2006/relationships/hyperlink" Target="https://www.sciencedirect.com/science/article/pii/S0016648017308535" TargetMode="External"/><Relationship Id="rId71" Type="http://schemas.openxmlformats.org/officeDocument/2006/relationships/hyperlink" Target="https://www.mdpi.com/2076-2615/11/1/75" TargetMode="External"/><Relationship Id="rId2" Type="http://schemas.openxmlformats.org/officeDocument/2006/relationships/hyperlink" Target="https://www.sciencedirect.com/science/article/pii/S0168159117302502" TargetMode="External"/><Relationship Id="rId29" Type="http://schemas.openxmlformats.org/officeDocument/2006/relationships/hyperlink" Target="https://www.sciencedirect.com/science/article/pii/S0016648012002626"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8" Type="http://schemas.openxmlformats.org/officeDocument/2006/relationships/hyperlink" Target="https://journals.plos.org/plosone/article?id=10.1371/journal.pone.0249281" TargetMode="External"/><Relationship Id="rId13" Type="http://schemas.openxmlformats.org/officeDocument/2006/relationships/hyperlink" Target="https://journals.co.za/doi/abs/10.3957/056.051.0090" TargetMode="External"/><Relationship Id="rId18" Type="http://schemas.openxmlformats.org/officeDocument/2006/relationships/hyperlink" Target="https://www.sciencedirect.com/science/article/pii/S0016648004000620" TargetMode="External"/><Relationship Id="rId3" Type="http://schemas.openxmlformats.org/officeDocument/2006/relationships/hyperlink" Target="https://www.sciencedirect.com/science/article/pii/S0016648011001432" TargetMode="External"/><Relationship Id="rId21" Type="http://schemas.openxmlformats.org/officeDocument/2006/relationships/hyperlink" Target="https://www.journals.uchicago.edu/doi/full/10.1086/380209" TargetMode="External"/><Relationship Id="rId7" Type="http://schemas.openxmlformats.org/officeDocument/2006/relationships/hyperlink" Target="https://www.ncbi.nlm.nih.gov/pmc/articles/PMC9047137/" TargetMode="External"/><Relationship Id="rId12" Type="http://schemas.openxmlformats.org/officeDocument/2006/relationships/hyperlink" Target="https://link.springer.com/article/10.1007/s10764-013-9703-y" TargetMode="External"/><Relationship Id="rId17" Type="http://schemas.openxmlformats.org/officeDocument/2006/relationships/hyperlink" Target="https://www.sciencedirect.com/science/article/pii/S0016648000975579" TargetMode="External"/><Relationship Id="rId2" Type="http://schemas.openxmlformats.org/officeDocument/2006/relationships/hyperlink" Target="https://www.mdpi.com/2076-2615/11/1/75" TargetMode="External"/><Relationship Id="rId16" Type="http://schemas.openxmlformats.org/officeDocument/2006/relationships/hyperlink" Target="https://www.sciencedirect.com/science/article/pii/S0016648000975579" TargetMode="External"/><Relationship Id="rId20" Type="http://schemas.openxmlformats.org/officeDocument/2006/relationships/hyperlink" Target="https://www.sciencedirect.com/science/article/pii/S0016648000975579" TargetMode="External"/><Relationship Id="rId1" Type="http://schemas.openxmlformats.org/officeDocument/2006/relationships/hyperlink" Target="https://www.mdpi.com/2076-2615/11/1/75" TargetMode="External"/><Relationship Id="rId6" Type="http://schemas.openxmlformats.org/officeDocument/2006/relationships/hyperlink" Target="https://www.sciencedirect.com/science/article/pii/S001664801300453X" TargetMode="External"/><Relationship Id="rId11" Type="http://schemas.openxmlformats.org/officeDocument/2006/relationships/hyperlink" Target="https://onlinelibrary.wiley.com/doi/full/10.1002/zoo.21100" TargetMode="External"/><Relationship Id="rId5" Type="http://schemas.openxmlformats.org/officeDocument/2006/relationships/hyperlink" Target="https://academic.oup.com/jmammal/article/98/5/1288/4096804" TargetMode="External"/><Relationship Id="rId15" Type="http://schemas.openxmlformats.org/officeDocument/2006/relationships/hyperlink" Target="https://www.sciencedirect.com/science/article/pii/S0016648012003255" TargetMode="External"/><Relationship Id="rId10" Type="http://schemas.openxmlformats.org/officeDocument/2006/relationships/hyperlink" Target="https://www.researchgate.net/profile/Regina-Paz/publication/269544331_Evaluation_of_Glucocorticoid_Faecal_Monitoring_as_a_Non-Invasive_Assessment_of_Stress_in_Captive_Crab-Eating_Fox_Cerdocyoun_thous_After_ACTH_Stimulation/links/54c6276d0cf256ed5a9ca591/Evaluation-of-Glucocorticoid-Faecal-Monitoring-as-a-Non-Invasive-Assessment-of-Stress-in-Captive-Crab-Eating-Fox-Cerdocyoun-thous-After-ACTH-Stimulation.pdf?_sg%5B0%5D=started_experiment_milestone&amp;origin=journalDetail" TargetMode="External"/><Relationship Id="rId19" Type="http://schemas.openxmlformats.org/officeDocument/2006/relationships/hyperlink" Target="https://www.sciencedirect.com/science/article/pii/S0016648004000620" TargetMode="External"/><Relationship Id="rId4" Type="http://schemas.openxmlformats.org/officeDocument/2006/relationships/hyperlink" Target="https://onlinelibrary.wiley.com/doi/abs/10.1002/jez.546" TargetMode="External"/><Relationship Id="rId9" Type="http://schemas.openxmlformats.org/officeDocument/2006/relationships/hyperlink" Target="https://www.sciencedirect.com/science/article/pii/S0016648004000620" TargetMode="External"/><Relationship Id="rId14" Type="http://schemas.openxmlformats.org/officeDocument/2006/relationships/hyperlink" Target="https://journals.co.za/doi/abs/10.3957/056.051.0090" TargetMode="External"/><Relationship Id="rId22"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8" Type="http://schemas.openxmlformats.org/officeDocument/2006/relationships/hyperlink" Target="https://www.sciencedirect.com/science/article/pii/S0016648004000620" TargetMode="External"/><Relationship Id="rId3" Type="http://schemas.openxmlformats.org/officeDocument/2006/relationships/hyperlink" Target="https://link.springer.com/article/10.1007/s00360-017-1125-2" TargetMode="External"/><Relationship Id="rId7" Type="http://schemas.openxmlformats.org/officeDocument/2006/relationships/hyperlink" Target="https://onlinelibrary.wiley.com/doi/abs/10.1002/jez.546" TargetMode="External"/><Relationship Id="rId2" Type="http://schemas.openxmlformats.org/officeDocument/2006/relationships/hyperlink" Target="https://www.mdpi.com/2076-2615/11/1/75" TargetMode="External"/><Relationship Id="rId1" Type="http://schemas.openxmlformats.org/officeDocument/2006/relationships/hyperlink" Target="https://www.mdpi.com/2076-2615/11/1/75" TargetMode="External"/><Relationship Id="rId6" Type="http://schemas.openxmlformats.org/officeDocument/2006/relationships/hyperlink" Target="https://www.sciencedirect.com/science/article/pii/S0016648000975579" TargetMode="External"/><Relationship Id="rId5" Type="http://schemas.openxmlformats.org/officeDocument/2006/relationships/hyperlink" Target="https://www.sciencedirect.com/science/article/pii/S0016648011001432" TargetMode="External"/><Relationship Id="rId10" Type="http://schemas.openxmlformats.org/officeDocument/2006/relationships/drawing" Target="../drawings/drawing8.xml"/><Relationship Id="rId4" Type="http://schemas.openxmlformats.org/officeDocument/2006/relationships/hyperlink" Target="https://www.journals.uchicago.edu/doi/full/10.1086/380209" TargetMode="External"/><Relationship Id="rId9" Type="http://schemas.openxmlformats.org/officeDocument/2006/relationships/hyperlink" Target="https://academic.oup.com/jmammal/article/98/5/1288/4096804"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sciencedirect.com/science/article/pii/S0016648000975579" TargetMode="External"/><Relationship Id="rId13" Type="http://schemas.openxmlformats.org/officeDocument/2006/relationships/hyperlink" Target="https://www.sciencedirect.com/science/article/pii/S0016648000975579" TargetMode="External"/><Relationship Id="rId3" Type="http://schemas.openxmlformats.org/officeDocument/2006/relationships/hyperlink" Target="https://journals.biologists.com/jeb/article/223/24/jeb234914/226053/Synergetic-effects-of-immune-challenge-and-stress" TargetMode="External"/><Relationship Id="rId7" Type="http://schemas.openxmlformats.org/officeDocument/2006/relationships/hyperlink" Target="https://www.sciencedirect.com/science/article/pii/S0016648000975579" TargetMode="External"/><Relationship Id="rId12" Type="http://schemas.openxmlformats.org/officeDocument/2006/relationships/hyperlink" Target="https://www.sciencedirect.com/science/article/pii/S0016648000975579" TargetMode="External"/><Relationship Id="rId2" Type="http://schemas.openxmlformats.org/officeDocument/2006/relationships/hyperlink" Target="https://joe.bioscientifica.com/view/journals/joe/219/1/1.xml" TargetMode="External"/><Relationship Id="rId1" Type="http://schemas.openxmlformats.org/officeDocument/2006/relationships/hyperlink" Target="https://www.sciencedirect.com/science/article/pii/S0016648000975579" TargetMode="External"/><Relationship Id="rId6" Type="http://schemas.openxmlformats.org/officeDocument/2006/relationships/hyperlink" Target="https://link.springer.com/article/10.1007/s10764-017-9993-6" TargetMode="External"/><Relationship Id="rId11" Type="http://schemas.openxmlformats.org/officeDocument/2006/relationships/hyperlink" Target="https://www.sciencedirect.com/science/article/pii/S0016648000975579" TargetMode="External"/><Relationship Id="rId5" Type="http://schemas.openxmlformats.org/officeDocument/2006/relationships/hyperlink" Target="https://link.springer.com/article/10.1134/S1062359011030095" TargetMode="External"/><Relationship Id="rId10" Type="http://schemas.openxmlformats.org/officeDocument/2006/relationships/hyperlink" Target="https://www.sciencedirect.com/science/article/pii/S0016648000975579" TargetMode="External"/><Relationship Id="rId4" Type="http://schemas.openxmlformats.org/officeDocument/2006/relationships/hyperlink" Target="https://www.sciencedirect.com/science/article/pii/S0016648018300595" TargetMode="External"/><Relationship Id="rId9" Type="http://schemas.openxmlformats.org/officeDocument/2006/relationships/hyperlink" Target="https://www.sciencedirect.com/science/article/pii/S00166480009755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C2726-D800-E840-8EAA-38E9FFFC9AF1}">
  <dimension ref="A1:AT377"/>
  <sheetViews>
    <sheetView tabSelected="1" zoomScale="87" zoomScaleNormal="75" workbookViewId="0">
      <pane xSplit="3" ySplit="1" topLeftCell="D2" activePane="bottomRight" state="frozen"/>
      <selection pane="topRight" activeCell="C1" sqref="C1"/>
      <selection pane="bottomLeft" activeCell="A2" sqref="A2"/>
      <selection pane="bottomRight" activeCell="F59" sqref="F59"/>
    </sheetView>
  </sheetViews>
  <sheetFormatPr baseColWidth="10" defaultColWidth="11" defaultRowHeight="15.75" customHeight="1" x14ac:dyDescent="0.2"/>
  <cols>
    <col min="3" max="3" width="29.33203125" style="22" customWidth="1"/>
    <col min="4" max="4" width="13.83203125" customWidth="1"/>
    <col min="5" max="5" width="18" customWidth="1"/>
    <col min="6" max="6" width="19.33203125" customWidth="1"/>
    <col min="7" max="7" width="21.1640625" customWidth="1"/>
    <col min="8" max="8" width="15.83203125" customWidth="1"/>
    <col min="9" max="9" width="17.83203125" customWidth="1"/>
    <col min="10" max="10" width="24.1640625" customWidth="1"/>
    <col min="11" max="11" width="16.6640625" customWidth="1"/>
    <col min="12" max="12" width="22.6640625" customWidth="1"/>
    <col min="13" max="13" width="19.33203125" customWidth="1"/>
    <col min="14" max="14" width="21.1640625" customWidth="1"/>
    <col min="15" max="16" width="15.33203125" customWidth="1"/>
    <col min="17" max="17" width="15.83203125" customWidth="1"/>
    <col min="18" max="18" width="21.5" customWidth="1"/>
    <col min="19" max="19" width="13.83203125" customWidth="1"/>
    <col min="20" max="20" width="32.33203125" customWidth="1"/>
    <col min="21" max="21" width="15" customWidth="1"/>
    <col min="22" max="22" width="18" customWidth="1"/>
    <col min="24" max="24" width="19.5" customWidth="1"/>
    <col min="25" max="25" width="14.33203125" customWidth="1"/>
    <col min="26" max="26" width="151.83203125" customWidth="1"/>
    <col min="27" max="27" width="114.5" customWidth="1"/>
    <col min="28" max="28" width="41.1640625" customWidth="1"/>
    <col min="29" max="29" width="30.83203125" customWidth="1"/>
    <col min="30" max="30" width="123.33203125" customWidth="1"/>
    <col min="31" max="31" width="55.33203125" customWidth="1"/>
    <col min="32" max="32" width="23.1640625" customWidth="1"/>
    <col min="46" max="46" width="61.33203125" customWidth="1"/>
  </cols>
  <sheetData>
    <row r="1" spans="1:46" ht="16" x14ac:dyDescent="0.2">
      <c r="B1" t="s">
        <v>6</v>
      </c>
      <c r="C1" s="11" t="s">
        <v>7</v>
      </c>
      <c r="D1" t="s">
        <v>531</v>
      </c>
      <c r="E1" t="s">
        <v>533</v>
      </c>
      <c r="F1" t="s">
        <v>13</v>
      </c>
      <c r="G1" t="s">
        <v>14</v>
      </c>
      <c r="H1" t="s">
        <v>17</v>
      </c>
      <c r="I1" t="s">
        <v>8</v>
      </c>
      <c r="J1" t="s">
        <v>9</v>
      </c>
      <c r="K1" t="s">
        <v>10</v>
      </c>
      <c r="L1" t="s">
        <v>11</v>
      </c>
      <c r="M1" t="s">
        <v>13</v>
      </c>
      <c r="N1" t="s">
        <v>14</v>
      </c>
      <c r="O1" t="s">
        <v>15</v>
      </c>
      <c r="P1" t="s">
        <v>16</v>
      </c>
      <c r="Q1" t="s">
        <v>17</v>
      </c>
      <c r="R1" t="s">
        <v>18</v>
      </c>
      <c r="S1" t="s">
        <v>532</v>
      </c>
      <c r="T1" t="s">
        <v>20</v>
      </c>
      <c r="U1" t="s">
        <v>21</v>
      </c>
      <c r="V1" t="s">
        <v>533</v>
      </c>
      <c r="W1" t="s">
        <v>23</v>
      </c>
      <c r="X1" t="s">
        <v>24</v>
      </c>
      <c r="Y1" t="s">
        <v>25</v>
      </c>
      <c r="Z1" s="72"/>
      <c r="AA1" s="46"/>
      <c r="AT1" t="s">
        <v>27</v>
      </c>
    </row>
    <row r="2" spans="1:46" ht="14" customHeight="1" x14ac:dyDescent="0.2">
      <c r="B2" t="s">
        <v>427</v>
      </c>
      <c r="C2" s="73" t="s">
        <v>380</v>
      </c>
      <c r="E2" s="5">
        <v>23000000</v>
      </c>
      <c r="F2">
        <v>64.5</v>
      </c>
      <c r="G2">
        <v>3798.55</v>
      </c>
      <c r="H2" t="s">
        <v>381</v>
      </c>
      <c r="O2" t="s">
        <v>154</v>
      </c>
      <c r="P2">
        <v>14</v>
      </c>
      <c r="Q2" t="s">
        <v>381</v>
      </c>
      <c r="R2" t="s">
        <v>51</v>
      </c>
      <c r="T2" t="s">
        <v>530</v>
      </c>
      <c r="U2">
        <v>67</v>
      </c>
      <c r="V2" s="5">
        <v>23000000</v>
      </c>
      <c r="Z2" t="s">
        <v>383</v>
      </c>
      <c r="AA2" s="74" t="s">
        <v>384</v>
      </c>
      <c r="AB2" t="s">
        <v>464</v>
      </c>
      <c r="AC2" s="75" t="s">
        <v>513</v>
      </c>
      <c r="AT2" t="s">
        <v>518</v>
      </c>
    </row>
    <row r="3" spans="1:46" ht="14" customHeight="1" x14ac:dyDescent="0.2">
      <c r="B3" t="s">
        <v>427</v>
      </c>
      <c r="C3" s="73" t="s">
        <v>376</v>
      </c>
      <c r="D3">
        <v>188700</v>
      </c>
      <c r="E3" s="5">
        <v>415000</v>
      </c>
      <c r="F3">
        <v>197.69300000000001</v>
      </c>
      <c r="G3">
        <v>1012.48</v>
      </c>
      <c r="H3" t="s">
        <v>46</v>
      </c>
      <c r="O3" t="s">
        <v>154</v>
      </c>
      <c r="P3">
        <v>14</v>
      </c>
      <c r="Q3" t="s">
        <v>46</v>
      </c>
      <c r="R3" t="s">
        <v>51</v>
      </c>
      <c r="S3">
        <v>188700</v>
      </c>
      <c r="T3" t="s">
        <v>377</v>
      </c>
      <c r="U3">
        <v>32.799999999999997</v>
      </c>
      <c r="V3" s="5">
        <v>415000</v>
      </c>
      <c r="Z3" t="s">
        <v>378</v>
      </c>
      <c r="AA3" s="74" t="s">
        <v>379</v>
      </c>
      <c r="AB3" t="s">
        <v>465</v>
      </c>
      <c r="AC3" s="75" t="s">
        <v>513</v>
      </c>
    </row>
    <row r="4" spans="1:46" ht="16" x14ac:dyDescent="0.2">
      <c r="B4" t="s">
        <v>427</v>
      </c>
      <c r="C4" s="73" t="s">
        <v>372</v>
      </c>
      <c r="D4" s="5">
        <v>202000</v>
      </c>
      <c r="E4" s="5">
        <v>200000</v>
      </c>
      <c r="F4">
        <v>1501</v>
      </c>
      <c r="G4">
        <v>6961</v>
      </c>
      <c r="H4" t="s">
        <v>373</v>
      </c>
      <c r="O4" t="s">
        <v>154</v>
      </c>
      <c r="P4">
        <v>14</v>
      </c>
      <c r="Q4" t="s">
        <v>373</v>
      </c>
      <c r="R4" t="s">
        <v>51</v>
      </c>
      <c r="S4" s="5">
        <v>202000</v>
      </c>
      <c r="T4" t="s">
        <v>34</v>
      </c>
      <c r="U4">
        <v>51.6</v>
      </c>
      <c r="V4" s="5">
        <v>200000</v>
      </c>
      <c r="W4">
        <v>2.15E-3</v>
      </c>
      <c r="Z4" t="s">
        <v>535</v>
      </c>
      <c r="AA4" s="74" t="s">
        <v>375</v>
      </c>
      <c r="AB4" t="s">
        <v>499</v>
      </c>
      <c r="AC4" s="75" t="s">
        <v>513</v>
      </c>
      <c r="AD4" t="s">
        <v>435</v>
      </c>
      <c r="AE4" t="s">
        <v>522</v>
      </c>
    </row>
    <row r="5" spans="1:46" ht="16" x14ac:dyDescent="0.2">
      <c r="A5" t="s">
        <v>529</v>
      </c>
      <c r="B5" t="s">
        <v>28</v>
      </c>
      <c r="C5" s="22" t="s">
        <v>104</v>
      </c>
      <c r="E5" s="69">
        <v>139842</v>
      </c>
      <c r="F5" s="69">
        <v>620</v>
      </c>
      <c r="G5">
        <v>1800</v>
      </c>
      <c r="H5" t="s">
        <v>105</v>
      </c>
      <c r="M5">
        <v>620</v>
      </c>
      <c r="N5">
        <v>1800</v>
      </c>
      <c r="O5" t="s">
        <v>31</v>
      </c>
      <c r="P5">
        <v>5</v>
      </c>
      <c r="Q5" t="s">
        <v>105</v>
      </c>
      <c r="R5" t="s">
        <v>33</v>
      </c>
      <c r="U5">
        <v>60.1</v>
      </c>
      <c r="V5" s="5">
        <v>139842</v>
      </c>
      <c r="Y5" t="s">
        <v>35</v>
      </c>
      <c r="AA5" s="76" t="s">
        <v>106</v>
      </c>
      <c r="AB5" s="77" t="s">
        <v>468</v>
      </c>
      <c r="AC5" s="75" t="s">
        <v>513</v>
      </c>
    </row>
    <row r="6" spans="1:46" ht="16" x14ac:dyDescent="0.2">
      <c r="B6" t="s">
        <v>28</v>
      </c>
      <c r="C6" s="22" t="s">
        <v>104</v>
      </c>
      <c r="E6" s="69">
        <v>139842</v>
      </c>
      <c r="F6" s="69">
        <v>450</v>
      </c>
      <c r="G6">
        <v>1890</v>
      </c>
      <c r="H6" t="s">
        <v>105</v>
      </c>
      <c r="M6">
        <v>450</v>
      </c>
      <c r="N6">
        <v>1890</v>
      </c>
      <c r="O6" t="s">
        <v>31</v>
      </c>
      <c r="P6">
        <v>6</v>
      </c>
      <c r="Q6" t="s">
        <v>105</v>
      </c>
      <c r="R6" t="s">
        <v>33</v>
      </c>
      <c r="U6">
        <v>60.1</v>
      </c>
      <c r="V6" s="5">
        <v>139842</v>
      </c>
      <c r="Y6" t="s">
        <v>35</v>
      </c>
      <c r="AA6" s="76" t="s">
        <v>106</v>
      </c>
      <c r="AB6" s="77" t="s">
        <v>468</v>
      </c>
      <c r="AC6" s="75" t="s">
        <v>513</v>
      </c>
      <c r="AT6" t="s">
        <v>38</v>
      </c>
    </row>
    <row r="7" spans="1:46" ht="16" x14ac:dyDescent="0.2">
      <c r="B7" t="s">
        <v>28</v>
      </c>
      <c r="C7" s="22" t="s">
        <v>104</v>
      </c>
      <c r="E7" s="69">
        <v>139842</v>
      </c>
      <c r="F7" s="69"/>
      <c r="H7" t="s">
        <v>105</v>
      </c>
      <c r="J7">
        <v>60</v>
      </c>
      <c r="L7">
        <v>140</v>
      </c>
      <c r="O7" t="s">
        <v>31</v>
      </c>
      <c r="P7">
        <v>8</v>
      </c>
      <c r="Q7" t="s">
        <v>105</v>
      </c>
      <c r="R7" t="s">
        <v>33</v>
      </c>
      <c r="U7">
        <v>60.1</v>
      </c>
      <c r="V7" s="5">
        <v>139842</v>
      </c>
      <c r="Y7" t="s">
        <v>35</v>
      </c>
      <c r="AA7" s="76" t="s">
        <v>106</v>
      </c>
      <c r="AB7" s="77" t="s">
        <v>468</v>
      </c>
      <c r="AC7" s="75" t="s">
        <v>513</v>
      </c>
    </row>
    <row r="8" spans="1:46" ht="16" x14ac:dyDescent="0.2">
      <c r="B8" t="s">
        <v>28</v>
      </c>
      <c r="C8" s="22" t="s">
        <v>104</v>
      </c>
      <c r="E8" s="69">
        <v>139842</v>
      </c>
      <c r="F8" s="69"/>
      <c r="H8" t="s">
        <v>105</v>
      </c>
      <c r="I8">
        <v>20</v>
      </c>
      <c r="K8">
        <v>40</v>
      </c>
      <c r="O8" t="s">
        <v>31</v>
      </c>
      <c r="P8">
        <v>2</v>
      </c>
      <c r="Q8" t="s">
        <v>105</v>
      </c>
      <c r="R8" t="s">
        <v>33</v>
      </c>
      <c r="U8">
        <v>60.1</v>
      </c>
      <c r="V8" s="5">
        <v>139842</v>
      </c>
      <c r="Y8" t="s">
        <v>35</v>
      </c>
      <c r="Z8" t="s">
        <v>202</v>
      </c>
      <c r="AA8" s="76" t="s">
        <v>106</v>
      </c>
      <c r="AB8" s="77" t="s">
        <v>468</v>
      </c>
      <c r="AC8" s="75" t="s">
        <v>513</v>
      </c>
    </row>
    <row r="9" spans="1:46" ht="16" x14ac:dyDescent="0.2">
      <c r="B9" t="s">
        <v>28</v>
      </c>
      <c r="C9" s="22" t="s">
        <v>66</v>
      </c>
      <c r="E9" s="69">
        <v>5735</v>
      </c>
      <c r="F9" s="13"/>
      <c r="G9" s="13"/>
      <c r="H9" t="s">
        <v>46</v>
      </c>
      <c r="I9">
        <v>33</v>
      </c>
      <c r="K9">
        <v>188.5</v>
      </c>
      <c r="M9" s="13"/>
      <c r="N9" s="13"/>
      <c r="O9" t="s">
        <v>31</v>
      </c>
      <c r="P9">
        <v>2</v>
      </c>
      <c r="Q9" t="s">
        <v>46</v>
      </c>
      <c r="R9" t="s">
        <v>51</v>
      </c>
      <c r="T9" t="s">
        <v>34</v>
      </c>
      <c r="U9">
        <v>38</v>
      </c>
      <c r="V9" s="5">
        <v>5735</v>
      </c>
      <c r="Y9" t="s">
        <v>35</v>
      </c>
      <c r="Z9" t="s">
        <v>534</v>
      </c>
      <c r="AA9" s="87" t="s">
        <v>68</v>
      </c>
      <c r="AB9" t="s">
        <v>469</v>
      </c>
      <c r="AC9" s="77" t="s">
        <v>513</v>
      </c>
    </row>
    <row r="10" spans="1:46" ht="17" customHeight="1" x14ac:dyDescent="0.2">
      <c r="B10" t="s">
        <v>28</v>
      </c>
      <c r="C10" s="22" t="s">
        <v>66</v>
      </c>
      <c r="E10" s="69">
        <v>5735</v>
      </c>
      <c r="F10" s="13">
        <v>1683.33</v>
      </c>
      <c r="G10" s="13">
        <v>24310</v>
      </c>
      <c r="H10" t="s">
        <v>46</v>
      </c>
      <c r="M10" s="13">
        <v>1683.33</v>
      </c>
      <c r="N10" s="13">
        <v>24310</v>
      </c>
      <c r="O10" t="s">
        <v>31</v>
      </c>
      <c r="P10">
        <v>5</v>
      </c>
      <c r="Q10" t="s">
        <v>46</v>
      </c>
      <c r="R10" t="s">
        <v>51</v>
      </c>
      <c r="T10" t="s">
        <v>34</v>
      </c>
      <c r="U10">
        <v>38</v>
      </c>
      <c r="V10" s="5">
        <v>5735</v>
      </c>
      <c r="Y10" t="s">
        <v>35</v>
      </c>
      <c r="Z10" t="s">
        <v>67</v>
      </c>
      <c r="AA10" s="87" t="s">
        <v>68</v>
      </c>
      <c r="AB10" t="s">
        <v>469</v>
      </c>
      <c r="AC10" s="77" t="s">
        <v>513</v>
      </c>
    </row>
    <row r="11" spans="1:46" ht="17" customHeight="1" x14ac:dyDescent="0.2">
      <c r="B11" t="s">
        <v>28</v>
      </c>
      <c r="C11" s="22" t="s">
        <v>66</v>
      </c>
      <c r="E11" s="69">
        <v>5735</v>
      </c>
      <c r="F11" s="13">
        <v>791.66700000000003</v>
      </c>
      <c r="G11" s="13">
        <v>9735</v>
      </c>
      <c r="H11" t="s">
        <v>46</v>
      </c>
      <c r="M11" s="13">
        <v>791.66700000000003</v>
      </c>
      <c r="N11" s="13">
        <v>9735</v>
      </c>
      <c r="O11" t="s">
        <v>31</v>
      </c>
      <c r="P11">
        <v>6</v>
      </c>
      <c r="Q11" t="s">
        <v>46</v>
      </c>
      <c r="R11" t="s">
        <v>51</v>
      </c>
      <c r="T11" t="s">
        <v>34</v>
      </c>
      <c r="U11">
        <v>38</v>
      </c>
      <c r="V11" s="5">
        <v>5735</v>
      </c>
      <c r="Y11" t="s">
        <v>35</v>
      </c>
      <c r="Z11" t="s">
        <v>67</v>
      </c>
      <c r="AA11" s="87" t="s">
        <v>68</v>
      </c>
      <c r="AB11" t="s">
        <v>469</v>
      </c>
      <c r="AC11" s="77" t="s">
        <v>513</v>
      </c>
    </row>
    <row r="12" spans="1:46" ht="17" customHeight="1" x14ac:dyDescent="0.2">
      <c r="B12" t="s">
        <v>28</v>
      </c>
      <c r="C12" s="22" t="s">
        <v>66</v>
      </c>
      <c r="E12" s="69">
        <v>5735</v>
      </c>
      <c r="F12" s="13"/>
      <c r="G12" s="13"/>
      <c r="H12" t="s">
        <v>46</v>
      </c>
      <c r="J12">
        <v>26.667000000000002</v>
      </c>
      <c r="L12">
        <v>749.5</v>
      </c>
      <c r="M12" s="13"/>
      <c r="N12" s="13"/>
      <c r="O12" t="s">
        <v>31</v>
      </c>
      <c r="P12">
        <v>8</v>
      </c>
      <c r="Q12" t="s">
        <v>46</v>
      </c>
      <c r="R12" t="s">
        <v>51</v>
      </c>
      <c r="T12" t="s">
        <v>34</v>
      </c>
      <c r="U12">
        <v>38</v>
      </c>
      <c r="V12" s="5">
        <v>5735</v>
      </c>
      <c r="Y12" t="s">
        <v>35</v>
      </c>
      <c r="Z12" t="s">
        <v>67</v>
      </c>
      <c r="AA12" t="s">
        <v>68</v>
      </c>
      <c r="AB12" t="s">
        <v>469</v>
      </c>
      <c r="AC12" s="77" t="s">
        <v>513</v>
      </c>
    </row>
    <row r="13" spans="1:46" ht="16" x14ac:dyDescent="0.2">
      <c r="B13" t="s">
        <v>28</v>
      </c>
      <c r="C13" s="22" t="s">
        <v>156</v>
      </c>
      <c r="E13" s="69">
        <v>11950</v>
      </c>
      <c r="F13" s="69"/>
      <c r="H13" t="s">
        <v>157</v>
      </c>
      <c r="I13">
        <v>51.505000000000003</v>
      </c>
      <c r="K13">
        <v>80.245000000000005</v>
      </c>
      <c r="O13" t="s">
        <v>31</v>
      </c>
      <c r="P13">
        <v>13</v>
      </c>
      <c r="Q13" t="s">
        <v>157</v>
      </c>
      <c r="R13" t="s">
        <v>51</v>
      </c>
      <c r="U13">
        <v>28.4</v>
      </c>
      <c r="V13">
        <v>11950</v>
      </c>
      <c r="Y13" t="s">
        <v>35</v>
      </c>
      <c r="Z13" t="s">
        <v>158</v>
      </c>
      <c r="AA13" s="74" t="s">
        <v>159</v>
      </c>
      <c r="AB13" s="79" t="s">
        <v>474</v>
      </c>
      <c r="AC13" s="75" t="s">
        <v>513</v>
      </c>
    </row>
    <row r="14" spans="1:46" ht="16" x14ac:dyDescent="0.2">
      <c r="B14" t="s">
        <v>28</v>
      </c>
      <c r="C14" s="22" t="s">
        <v>69</v>
      </c>
      <c r="E14" s="69">
        <v>64.8</v>
      </c>
      <c r="F14" s="69"/>
      <c r="H14" t="s">
        <v>70</v>
      </c>
      <c r="I14">
        <v>420</v>
      </c>
      <c r="K14">
        <v>1940</v>
      </c>
      <c r="O14" t="s">
        <v>31</v>
      </c>
      <c r="P14">
        <v>2</v>
      </c>
      <c r="Q14" t="s">
        <v>70</v>
      </c>
      <c r="R14" t="s">
        <v>33</v>
      </c>
      <c r="U14">
        <v>18.2</v>
      </c>
      <c r="V14">
        <v>64.8</v>
      </c>
      <c r="Y14" t="s">
        <v>35</v>
      </c>
      <c r="Z14" t="s">
        <v>71</v>
      </c>
      <c r="AA14" s="74" t="s">
        <v>72</v>
      </c>
      <c r="AB14" t="s">
        <v>477</v>
      </c>
      <c r="AC14" s="75" t="s">
        <v>513</v>
      </c>
    </row>
    <row r="15" spans="1:46" ht="16" x14ac:dyDescent="0.2">
      <c r="B15" t="s">
        <v>28</v>
      </c>
      <c r="C15" s="22" t="s">
        <v>69</v>
      </c>
      <c r="E15" s="69">
        <v>64.8</v>
      </c>
      <c r="F15" s="69">
        <v>200</v>
      </c>
      <c r="G15">
        <v>4500</v>
      </c>
      <c r="H15" t="s">
        <v>70</v>
      </c>
      <c r="M15">
        <v>200</v>
      </c>
      <c r="N15">
        <v>4500</v>
      </c>
      <c r="O15" t="s">
        <v>31</v>
      </c>
      <c r="P15">
        <v>5</v>
      </c>
      <c r="Q15" t="s">
        <v>70</v>
      </c>
      <c r="R15" t="s">
        <v>33</v>
      </c>
      <c r="U15">
        <v>18.2</v>
      </c>
      <c r="V15">
        <v>64.8</v>
      </c>
      <c r="Y15" t="s">
        <v>35</v>
      </c>
      <c r="Z15" t="s">
        <v>71</v>
      </c>
      <c r="AA15" s="8" t="s">
        <v>72</v>
      </c>
      <c r="AB15" t="s">
        <v>477</v>
      </c>
      <c r="AC15" s="75" t="s">
        <v>513</v>
      </c>
    </row>
    <row r="16" spans="1:46" ht="16" x14ac:dyDescent="0.2">
      <c r="B16" t="s">
        <v>28</v>
      </c>
      <c r="C16" s="22" t="s">
        <v>69</v>
      </c>
      <c r="E16" s="69">
        <v>64.8</v>
      </c>
      <c r="F16" s="69">
        <v>120</v>
      </c>
      <c r="G16">
        <v>1680</v>
      </c>
      <c r="H16" t="s">
        <v>70</v>
      </c>
      <c r="M16">
        <v>120</v>
      </c>
      <c r="N16">
        <v>1680</v>
      </c>
      <c r="O16" t="s">
        <v>31</v>
      </c>
      <c r="P16">
        <v>6</v>
      </c>
      <c r="Q16" t="s">
        <v>70</v>
      </c>
      <c r="R16" t="s">
        <v>33</v>
      </c>
      <c r="U16">
        <v>18.2</v>
      </c>
      <c r="V16">
        <v>64.8</v>
      </c>
      <c r="Y16" t="s">
        <v>35</v>
      </c>
      <c r="Z16" t="s">
        <v>71</v>
      </c>
      <c r="AA16" s="8" t="s">
        <v>72</v>
      </c>
      <c r="AB16" t="s">
        <v>477</v>
      </c>
      <c r="AC16" s="75" t="s">
        <v>513</v>
      </c>
    </row>
    <row r="17" spans="1:29" ht="16" x14ac:dyDescent="0.2">
      <c r="B17" t="s">
        <v>28</v>
      </c>
      <c r="C17" s="22" t="s">
        <v>69</v>
      </c>
      <c r="E17" s="69">
        <v>64.8</v>
      </c>
      <c r="F17" s="69"/>
      <c r="H17" t="s">
        <v>70</v>
      </c>
      <c r="J17">
        <v>90</v>
      </c>
      <c r="L17">
        <v>870</v>
      </c>
      <c r="O17" t="s">
        <v>31</v>
      </c>
      <c r="P17">
        <v>8</v>
      </c>
      <c r="Q17" t="s">
        <v>70</v>
      </c>
      <c r="R17" t="s">
        <v>33</v>
      </c>
      <c r="U17">
        <v>18.2</v>
      </c>
      <c r="V17">
        <v>64.8</v>
      </c>
      <c r="Y17" t="s">
        <v>35</v>
      </c>
      <c r="Z17" t="s">
        <v>71</v>
      </c>
      <c r="AA17" s="8" t="s">
        <v>72</v>
      </c>
      <c r="AB17" t="s">
        <v>477</v>
      </c>
      <c r="AC17" s="75" t="s">
        <v>513</v>
      </c>
    </row>
    <row r="18" spans="1:29" ht="16" x14ac:dyDescent="0.2">
      <c r="B18" t="s">
        <v>28</v>
      </c>
      <c r="C18" s="22" t="s">
        <v>176</v>
      </c>
      <c r="E18" s="69">
        <v>1300</v>
      </c>
      <c r="F18" s="69"/>
      <c r="H18" t="s">
        <v>157</v>
      </c>
      <c r="I18">
        <v>25.683</v>
      </c>
      <c r="K18">
        <v>209.113</v>
      </c>
      <c r="O18" t="s">
        <v>154</v>
      </c>
      <c r="P18">
        <v>14</v>
      </c>
      <c r="Q18" t="s">
        <v>157</v>
      </c>
      <c r="R18" t="s">
        <v>33</v>
      </c>
      <c r="T18" t="s">
        <v>177</v>
      </c>
      <c r="U18">
        <v>20</v>
      </c>
      <c r="V18" s="5">
        <v>1300</v>
      </c>
      <c r="W18">
        <v>2.9889999999999999E-3</v>
      </c>
      <c r="Z18" t="s">
        <v>178</v>
      </c>
      <c r="AA18" s="74" t="s">
        <v>179</v>
      </c>
      <c r="AB18" t="s">
        <v>481</v>
      </c>
      <c r="AC18" s="75" t="s">
        <v>513</v>
      </c>
    </row>
    <row r="19" spans="1:29" s="80" customFormat="1" ht="16" x14ac:dyDescent="0.2">
      <c r="B19" s="80" t="s">
        <v>28</v>
      </c>
      <c r="C19" s="81" t="s">
        <v>246</v>
      </c>
      <c r="E19" s="71">
        <v>45000</v>
      </c>
      <c r="F19" s="80">
        <v>9.94</v>
      </c>
      <c r="H19" s="80" t="s">
        <v>247</v>
      </c>
      <c r="K19" s="80">
        <v>11.76</v>
      </c>
      <c r="M19" s="80">
        <v>9.94</v>
      </c>
      <c r="O19" s="80" t="s">
        <v>168</v>
      </c>
      <c r="P19" s="80">
        <v>9</v>
      </c>
      <c r="Q19" s="80" t="s">
        <v>247</v>
      </c>
      <c r="R19" s="80" t="s">
        <v>33</v>
      </c>
      <c r="T19" s="80" t="s">
        <v>34</v>
      </c>
      <c r="U19" s="80">
        <v>68</v>
      </c>
      <c r="V19" s="82">
        <v>45000</v>
      </c>
      <c r="W19" s="80">
        <v>2.5999999999999999E-3</v>
      </c>
      <c r="Y19" s="80" t="s">
        <v>35</v>
      </c>
      <c r="Z19" s="80" t="s">
        <v>536</v>
      </c>
      <c r="AA19" t="s">
        <v>523</v>
      </c>
      <c r="AB19" s="80" t="s">
        <v>483</v>
      </c>
      <c r="AC19" s="83" t="s">
        <v>513</v>
      </c>
    </row>
    <row r="20" spans="1:29" ht="16" x14ac:dyDescent="0.2">
      <c r="B20" t="s">
        <v>28</v>
      </c>
      <c r="C20" s="22" t="s">
        <v>242</v>
      </c>
      <c r="E20" s="69">
        <v>18000</v>
      </c>
      <c r="F20" s="69"/>
      <c r="H20" t="s">
        <v>243</v>
      </c>
      <c r="I20">
        <v>63.3</v>
      </c>
      <c r="O20" t="s">
        <v>168</v>
      </c>
      <c r="P20">
        <v>14</v>
      </c>
      <c r="Q20" t="s">
        <v>243</v>
      </c>
      <c r="R20" t="s">
        <v>51</v>
      </c>
      <c r="T20" t="s">
        <v>34</v>
      </c>
      <c r="U20">
        <v>37.5</v>
      </c>
      <c r="V20" s="5">
        <v>18000</v>
      </c>
      <c r="W20">
        <v>1.665E-3</v>
      </c>
      <c r="Z20" t="s">
        <v>244</v>
      </c>
      <c r="AA20" s="74" t="s">
        <v>245</v>
      </c>
      <c r="AB20" s="75" t="s">
        <v>487</v>
      </c>
      <c r="AC20" s="75" t="s">
        <v>513</v>
      </c>
    </row>
    <row r="21" spans="1:29" ht="16" x14ac:dyDescent="0.2">
      <c r="B21" t="s">
        <v>28</v>
      </c>
      <c r="C21" s="22" t="s">
        <v>102</v>
      </c>
      <c r="E21" s="69">
        <v>5000</v>
      </c>
      <c r="F21" s="69">
        <v>917.5</v>
      </c>
      <c r="G21">
        <v>2312.5</v>
      </c>
      <c r="H21" t="s">
        <v>46</v>
      </c>
      <c r="M21">
        <v>917.5</v>
      </c>
      <c r="N21">
        <v>2312.5</v>
      </c>
      <c r="O21" t="s">
        <v>31</v>
      </c>
      <c r="P21">
        <v>5</v>
      </c>
      <c r="Q21" t="s">
        <v>46</v>
      </c>
      <c r="R21" t="s">
        <v>33</v>
      </c>
      <c r="T21" t="s">
        <v>34</v>
      </c>
      <c r="U21">
        <v>31</v>
      </c>
      <c r="V21" s="5">
        <v>5000</v>
      </c>
      <c r="W21">
        <v>1.116E-3</v>
      </c>
      <c r="X21">
        <v>36</v>
      </c>
      <c r="Z21" t="s">
        <v>516</v>
      </c>
      <c r="AA21" s="74" t="s">
        <v>103</v>
      </c>
      <c r="AB21" t="s">
        <v>491</v>
      </c>
      <c r="AC21" s="75" t="s">
        <v>513</v>
      </c>
    </row>
    <row r="22" spans="1:29" ht="16" x14ac:dyDescent="0.2">
      <c r="B22" t="s">
        <v>28</v>
      </c>
      <c r="C22" s="22" t="s">
        <v>102</v>
      </c>
      <c r="E22" s="69">
        <v>5000</v>
      </c>
      <c r="F22" s="69">
        <v>1270</v>
      </c>
      <c r="G22">
        <v>4410</v>
      </c>
      <c r="H22" t="s">
        <v>46</v>
      </c>
      <c r="M22">
        <v>1270</v>
      </c>
      <c r="N22">
        <v>4410</v>
      </c>
      <c r="O22" t="s">
        <v>31</v>
      </c>
      <c r="P22">
        <v>6</v>
      </c>
      <c r="Q22" t="s">
        <v>46</v>
      </c>
      <c r="R22" t="s">
        <v>33</v>
      </c>
      <c r="T22" t="s">
        <v>34</v>
      </c>
      <c r="U22">
        <v>31</v>
      </c>
      <c r="V22" s="5">
        <v>5000</v>
      </c>
      <c r="W22">
        <v>1.116E-3</v>
      </c>
      <c r="X22">
        <v>36</v>
      </c>
      <c r="Z22" t="s">
        <v>516</v>
      </c>
      <c r="AA22" t="s">
        <v>103</v>
      </c>
      <c r="AB22" t="s">
        <v>491</v>
      </c>
      <c r="AC22" s="75" t="s">
        <v>513</v>
      </c>
    </row>
    <row r="23" spans="1:29" ht="16" x14ac:dyDescent="0.2">
      <c r="B23" t="s">
        <v>28</v>
      </c>
      <c r="C23" s="22" t="s">
        <v>102</v>
      </c>
      <c r="E23" s="69">
        <v>5000</v>
      </c>
      <c r="F23" s="69"/>
      <c r="H23" t="s">
        <v>46</v>
      </c>
      <c r="I23">
        <v>21</v>
      </c>
      <c r="K23">
        <v>37</v>
      </c>
      <c r="O23" t="s">
        <v>31</v>
      </c>
      <c r="P23">
        <v>7</v>
      </c>
      <c r="Q23" t="s">
        <v>46</v>
      </c>
      <c r="R23" t="s">
        <v>33</v>
      </c>
      <c r="T23" t="s">
        <v>34</v>
      </c>
      <c r="U23">
        <v>31</v>
      </c>
      <c r="V23" s="5">
        <v>5000</v>
      </c>
      <c r="W23">
        <v>1.116E-3</v>
      </c>
      <c r="X23">
        <v>36</v>
      </c>
      <c r="Z23" t="s">
        <v>516</v>
      </c>
      <c r="AA23" t="s">
        <v>103</v>
      </c>
      <c r="AB23" t="s">
        <v>491</v>
      </c>
      <c r="AC23" s="75" t="s">
        <v>513</v>
      </c>
    </row>
    <row r="30" spans="1:29" ht="16" x14ac:dyDescent="0.2">
      <c r="C30" s="22" t="s">
        <v>214</v>
      </c>
      <c r="E30" s="69">
        <v>38446.1</v>
      </c>
      <c r="F30" s="69"/>
      <c r="H30" t="s">
        <v>217</v>
      </c>
      <c r="I30">
        <v>618.5</v>
      </c>
      <c r="K30">
        <v>1850.3</v>
      </c>
      <c r="O30" t="s">
        <v>31</v>
      </c>
      <c r="P30">
        <v>9</v>
      </c>
      <c r="Q30" t="s">
        <v>217</v>
      </c>
      <c r="R30" t="s">
        <v>51</v>
      </c>
      <c r="T30" t="s">
        <v>34</v>
      </c>
      <c r="U30">
        <v>20.5</v>
      </c>
      <c r="V30" s="6">
        <v>38446.1</v>
      </c>
      <c r="W30">
        <v>1.6069999999999999E-3</v>
      </c>
      <c r="X30">
        <v>39</v>
      </c>
      <c r="AA30" s="84" t="s">
        <v>218</v>
      </c>
      <c r="AB30" s="75" t="s">
        <v>443</v>
      </c>
      <c r="AC30" s="75" t="s">
        <v>513</v>
      </c>
    </row>
    <row r="31" spans="1:29" ht="16" x14ac:dyDescent="0.2">
      <c r="C31" s="22" t="s">
        <v>214</v>
      </c>
      <c r="E31" s="69">
        <v>38446.1</v>
      </c>
      <c r="F31" s="69"/>
      <c r="H31" t="s">
        <v>217</v>
      </c>
      <c r="J31">
        <v>232.9</v>
      </c>
      <c r="L31">
        <v>3578</v>
      </c>
      <c r="O31" t="s">
        <v>154</v>
      </c>
      <c r="P31">
        <v>14</v>
      </c>
      <c r="Q31" t="s">
        <v>217</v>
      </c>
      <c r="R31" t="s">
        <v>51</v>
      </c>
      <c r="T31" t="s">
        <v>34</v>
      </c>
      <c r="U31">
        <v>20.5</v>
      </c>
      <c r="V31" s="6">
        <v>38446.1</v>
      </c>
      <c r="W31">
        <v>1.6069999999999999E-3</v>
      </c>
      <c r="X31">
        <v>39</v>
      </c>
      <c r="AA31" s="84" t="s">
        <v>218</v>
      </c>
      <c r="AB31" s="75" t="s">
        <v>443</v>
      </c>
      <c r="AC31" s="75" t="s">
        <v>513</v>
      </c>
    </row>
    <row r="32" spans="1:29" ht="16" x14ac:dyDescent="0.2">
      <c r="A32" t="s">
        <v>529</v>
      </c>
      <c r="C32" s="22" t="s">
        <v>88</v>
      </c>
      <c r="E32" s="69">
        <v>45.2</v>
      </c>
      <c r="F32" s="69">
        <v>1077.33</v>
      </c>
      <c r="G32">
        <v>1838.98</v>
      </c>
      <c r="H32" t="s">
        <v>46</v>
      </c>
      <c r="M32">
        <v>1077.33</v>
      </c>
      <c r="N32">
        <v>1838.98</v>
      </c>
      <c r="O32" t="s">
        <v>31</v>
      </c>
      <c r="P32">
        <v>4</v>
      </c>
      <c r="Q32" t="s">
        <v>46</v>
      </c>
      <c r="R32" t="s">
        <v>33</v>
      </c>
      <c r="T32" t="s">
        <v>89</v>
      </c>
      <c r="U32">
        <v>5.9</v>
      </c>
      <c r="V32" s="5">
        <v>45.2</v>
      </c>
      <c r="W32">
        <v>6.143E-3</v>
      </c>
      <c r="X32">
        <v>37.5</v>
      </c>
      <c r="Z32" t="s">
        <v>514</v>
      </c>
      <c r="AA32" s="74" t="s">
        <v>91</v>
      </c>
      <c r="AB32" s="79" t="s">
        <v>444</v>
      </c>
      <c r="AC32" s="75" t="s">
        <v>513</v>
      </c>
    </row>
    <row r="33" spans="3:31" ht="16" x14ac:dyDescent="0.2">
      <c r="C33" s="22" t="s">
        <v>88</v>
      </c>
      <c r="E33" s="69">
        <v>45.2</v>
      </c>
      <c r="F33" s="69">
        <v>3524.28</v>
      </c>
      <c r="G33">
        <v>7682.35</v>
      </c>
      <c r="H33" t="s">
        <v>46</v>
      </c>
      <c r="M33">
        <v>3524.28</v>
      </c>
      <c r="N33">
        <v>7682.35</v>
      </c>
      <c r="O33" t="s">
        <v>31</v>
      </c>
      <c r="P33">
        <v>11</v>
      </c>
      <c r="Q33" t="s">
        <v>46</v>
      </c>
      <c r="R33" t="s">
        <v>33</v>
      </c>
      <c r="T33" t="s">
        <v>89</v>
      </c>
      <c r="U33">
        <v>5.9</v>
      </c>
      <c r="V33" s="5">
        <v>45.2</v>
      </c>
      <c r="W33">
        <v>6.143E-3</v>
      </c>
      <c r="X33">
        <v>37.5</v>
      </c>
      <c r="Z33" t="s">
        <v>90</v>
      </c>
      <c r="AA33" s="74" t="s">
        <v>91</v>
      </c>
      <c r="AB33" s="79" t="s">
        <v>444</v>
      </c>
      <c r="AC33" s="75" t="s">
        <v>513</v>
      </c>
    </row>
    <row r="34" spans="3:31" ht="16" x14ac:dyDescent="0.2">
      <c r="C34" s="22" t="s">
        <v>234</v>
      </c>
      <c r="E34" s="69">
        <v>117500</v>
      </c>
      <c r="F34" s="69"/>
      <c r="H34" t="s">
        <v>235</v>
      </c>
      <c r="I34">
        <v>114.66</v>
      </c>
      <c r="K34">
        <v>179.49199999999999</v>
      </c>
      <c r="O34" t="s">
        <v>229</v>
      </c>
      <c r="P34" t="s">
        <v>229</v>
      </c>
      <c r="Q34" t="s">
        <v>235</v>
      </c>
      <c r="R34" t="s">
        <v>51</v>
      </c>
      <c r="T34" t="s">
        <v>34</v>
      </c>
      <c r="U34">
        <v>36.799999999999997</v>
      </c>
      <c r="V34" s="5">
        <v>117500</v>
      </c>
      <c r="Z34" t="s">
        <v>236</v>
      </c>
      <c r="AA34" s="74" t="s">
        <v>237</v>
      </c>
      <c r="AB34" s="79" t="s">
        <v>445</v>
      </c>
      <c r="AC34" s="75" t="s">
        <v>513</v>
      </c>
    </row>
    <row r="35" spans="3:31" ht="16" x14ac:dyDescent="0.2">
      <c r="C35" s="22" t="s">
        <v>86</v>
      </c>
      <c r="E35" s="69">
        <v>102500</v>
      </c>
      <c r="F35" s="69">
        <v>130.333</v>
      </c>
      <c r="H35" t="s">
        <v>35</v>
      </c>
      <c r="M35">
        <v>130.333</v>
      </c>
      <c r="O35" t="s">
        <v>31</v>
      </c>
      <c r="P35">
        <v>4</v>
      </c>
      <c r="Q35" t="s">
        <v>35</v>
      </c>
      <c r="R35" t="s">
        <v>51</v>
      </c>
      <c r="T35" t="s">
        <v>84</v>
      </c>
      <c r="U35">
        <v>13.7</v>
      </c>
      <c r="V35" s="5">
        <v>102500</v>
      </c>
      <c r="Z35" t="s">
        <v>87</v>
      </c>
      <c r="AA35" s="74" t="s">
        <v>85</v>
      </c>
      <c r="AB35" s="79" t="s">
        <v>442</v>
      </c>
      <c r="AC35" s="75" t="s">
        <v>513</v>
      </c>
    </row>
    <row r="36" spans="3:31" ht="16" x14ac:dyDescent="0.2">
      <c r="C36" s="22" t="s">
        <v>39</v>
      </c>
      <c r="E36" s="69">
        <v>750000</v>
      </c>
      <c r="F36" s="69">
        <v>96.4</v>
      </c>
      <c r="H36" t="s">
        <v>35</v>
      </c>
      <c r="M36">
        <v>96.4</v>
      </c>
      <c r="O36" t="s">
        <v>31</v>
      </c>
      <c r="P36">
        <v>1</v>
      </c>
      <c r="Q36" t="s">
        <v>35</v>
      </c>
      <c r="R36" t="s">
        <v>33</v>
      </c>
      <c r="T36" t="s">
        <v>42</v>
      </c>
      <c r="U36">
        <v>20</v>
      </c>
      <c r="V36" s="5">
        <v>750000</v>
      </c>
      <c r="W36">
        <v>8.8400000000000002E-4</v>
      </c>
      <c r="X36">
        <v>38</v>
      </c>
      <c r="Z36" t="s">
        <v>515</v>
      </c>
      <c r="AA36" s="74" t="s">
        <v>44</v>
      </c>
      <c r="AB36" t="s">
        <v>447</v>
      </c>
      <c r="AC36" s="75" t="s">
        <v>513</v>
      </c>
    </row>
    <row r="37" spans="3:31" ht="15" customHeight="1" x14ac:dyDescent="0.2">
      <c r="C37" s="85" t="s">
        <v>278</v>
      </c>
      <c r="D37" s="5">
        <v>410000</v>
      </c>
      <c r="E37" s="69">
        <v>434000</v>
      </c>
      <c r="F37">
        <v>503.9</v>
      </c>
      <c r="G37">
        <v>2060.92</v>
      </c>
      <c r="H37" t="s">
        <v>46</v>
      </c>
      <c r="M37">
        <v>503.9</v>
      </c>
      <c r="N37">
        <v>2060.92</v>
      </c>
      <c r="O37" t="s">
        <v>279</v>
      </c>
      <c r="P37">
        <v>1</v>
      </c>
      <c r="Q37" t="s">
        <v>46</v>
      </c>
      <c r="R37" t="s">
        <v>33</v>
      </c>
      <c r="S37" s="5">
        <v>410000</v>
      </c>
      <c r="T37" t="s">
        <v>282</v>
      </c>
      <c r="U37">
        <v>28.4</v>
      </c>
      <c r="V37" s="5">
        <v>434000</v>
      </c>
      <c r="W37">
        <v>5.5199999999999997E-4</v>
      </c>
      <c r="X37">
        <v>37.5</v>
      </c>
      <c r="Z37" t="s">
        <v>516</v>
      </c>
      <c r="AA37" s="74" t="s">
        <v>283</v>
      </c>
      <c r="AB37" t="s">
        <v>448</v>
      </c>
      <c r="AC37" s="75" t="s">
        <v>513</v>
      </c>
    </row>
    <row r="38" spans="3:31" ht="16" x14ac:dyDescent="0.2">
      <c r="C38" s="22" t="s">
        <v>225</v>
      </c>
      <c r="E38" s="69">
        <v>22983.200000000001</v>
      </c>
      <c r="F38" s="69"/>
      <c r="H38" t="s">
        <v>217</v>
      </c>
      <c r="I38">
        <v>312.55</v>
      </c>
      <c r="K38">
        <v>969.85</v>
      </c>
      <c r="O38" t="s">
        <v>31</v>
      </c>
      <c r="P38">
        <v>9</v>
      </c>
      <c r="Q38" t="s">
        <v>217</v>
      </c>
      <c r="R38" t="s">
        <v>51</v>
      </c>
      <c r="T38" t="s">
        <v>34</v>
      </c>
      <c r="V38">
        <v>22983.200000000001</v>
      </c>
      <c r="Z38" t="s">
        <v>226</v>
      </c>
      <c r="AA38" s="84" t="s">
        <v>218</v>
      </c>
      <c r="AB38" s="75" t="s">
        <v>443</v>
      </c>
      <c r="AC38" s="75" t="s">
        <v>513</v>
      </c>
    </row>
    <row r="39" spans="3:31" ht="16" x14ac:dyDescent="0.2">
      <c r="C39" s="22" t="s">
        <v>225</v>
      </c>
      <c r="E39" s="69">
        <v>22983.200000000001</v>
      </c>
      <c r="F39" s="69"/>
      <c r="H39" t="s">
        <v>217</v>
      </c>
      <c r="J39">
        <v>215.8</v>
      </c>
      <c r="L39">
        <v>684.8</v>
      </c>
      <c r="O39" t="s">
        <v>154</v>
      </c>
      <c r="P39">
        <v>14</v>
      </c>
      <c r="Q39" t="s">
        <v>217</v>
      </c>
      <c r="R39" t="s">
        <v>51</v>
      </c>
      <c r="T39" t="s">
        <v>34</v>
      </c>
      <c r="V39">
        <v>22983.200000000001</v>
      </c>
      <c r="Z39" t="s">
        <v>226</v>
      </c>
      <c r="AA39" s="84" t="s">
        <v>218</v>
      </c>
      <c r="AB39" s="75" t="s">
        <v>443</v>
      </c>
      <c r="AC39" s="75" t="s">
        <v>513</v>
      </c>
    </row>
    <row r="40" spans="3:31" ht="16" x14ac:dyDescent="0.2">
      <c r="C40" s="22" t="s">
        <v>45</v>
      </c>
      <c r="E40" s="69">
        <v>61000</v>
      </c>
      <c r="F40" s="69">
        <v>124</v>
      </c>
      <c r="G40">
        <v>1096</v>
      </c>
      <c r="H40" t="s">
        <v>46</v>
      </c>
      <c r="M40">
        <v>124</v>
      </c>
      <c r="N40">
        <v>1096</v>
      </c>
      <c r="O40" t="s">
        <v>31</v>
      </c>
      <c r="P40">
        <v>1</v>
      </c>
      <c r="Q40" t="s">
        <v>46</v>
      </c>
      <c r="R40" t="s">
        <v>33</v>
      </c>
      <c r="T40" t="s">
        <v>34</v>
      </c>
      <c r="U40">
        <v>20.8</v>
      </c>
      <c r="V40" s="5">
        <v>61000</v>
      </c>
      <c r="W40">
        <v>1.4E-3</v>
      </c>
      <c r="X40">
        <v>39.299999999999997</v>
      </c>
      <c r="Z40" t="s">
        <v>516</v>
      </c>
      <c r="AA40" s="74" t="s">
        <v>48</v>
      </c>
      <c r="AB40" t="s">
        <v>449</v>
      </c>
      <c r="AC40" s="75" t="s">
        <v>513</v>
      </c>
      <c r="AD40" t="s">
        <v>434</v>
      </c>
      <c r="AE40" t="s">
        <v>519</v>
      </c>
    </row>
    <row r="41" spans="3:31" ht="16" x14ac:dyDescent="0.2">
      <c r="C41" s="22" t="s">
        <v>45</v>
      </c>
      <c r="E41" s="69">
        <v>61000</v>
      </c>
      <c r="F41" s="69">
        <v>316</v>
      </c>
      <c r="G41">
        <v>2423</v>
      </c>
      <c r="H41" t="s">
        <v>46</v>
      </c>
      <c r="M41">
        <v>316</v>
      </c>
      <c r="N41">
        <v>2423</v>
      </c>
      <c r="O41" t="s">
        <v>31</v>
      </c>
      <c r="P41">
        <v>4</v>
      </c>
      <c r="Q41" t="s">
        <v>46</v>
      </c>
      <c r="R41" t="s">
        <v>33</v>
      </c>
      <c r="T41" t="s">
        <v>34</v>
      </c>
      <c r="U41">
        <v>20.8</v>
      </c>
      <c r="V41" s="5">
        <v>61000</v>
      </c>
      <c r="W41">
        <v>1.4E-3</v>
      </c>
      <c r="X41">
        <v>39.299999999999997</v>
      </c>
      <c r="Z41" t="s">
        <v>516</v>
      </c>
      <c r="AA41" t="s">
        <v>48</v>
      </c>
      <c r="AB41" t="s">
        <v>449</v>
      </c>
      <c r="AC41" s="75" t="s">
        <v>513</v>
      </c>
      <c r="AD41" t="s">
        <v>434</v>
      </c>
      <c r="AE41" t="s">
        <v>519</v>
      </c>
    </row>
    <row r="42" spans="3:31" ht="16" x14ac:dyDescent="0.2">
      <c r="C42" s="22" t="s">
        <v>58</v>
      </c>
      <c r="E42" s="69">
        <v>21667</v>
      </c>
      <c r="F42" s="69"/>
      <c r="H42" t="s">
        <v>46</v>
      </c>
      <c r="I42">
        <v>60.92</v>
      </c>
      <c r="K42">
        <v>459</v>
      </c>
      <c r="O42" t="s">
        <v>31</v>
      </c>
      <c r="P42">
        <v>1</v>
      </c>
      <c r="Q42" t="s">
        <v>46</v>
      </c>
      <c r="R42" t="s">
        <v>33</v>
      </c>
      <c r="U42">
        <v>17.5</v>
      </c>
      <c r="V42" s="5">
        <v>21667</v>
      </c>
      <c r="W42">
        <v>2.1559999999999999E-3</v>
      </c>
      <c r="Z42" t="s">
        <v>59</v>
      </c>
      <c r="AA42" s="74" t="s">
        <v>60</v>
      </c>
      <c r="AB42" t="s">
        <v>450</v>
      </c>
      <c r="AC42" s="75" t="s">
        <v>513</v>
      </c>
    </row>
    <row r="43" spans="3:31" ht="16" x14ac:dyDescent="0.2">
      <c r="C43" s="22" t="s">
        <v>61</v>
      </c>
      <c r="D43">
        <v>992.8</v>
      </c>
      <c r="E43" s="69">
        <v>728</v>
      </c>
      <c r="F43" s="69"/>
      <c r="H43" t="s">
        <v>35</v>
      </c>
      <c r="I43">
        <v>349.23</v>
      </c>
      <c r="O43" t="s">
        <v>31</v>
      </c>
      <c r="P43">
        <v>1</v>
      </c>
      <c r="Q43" t="s">
        <v>35</v>
      </c>
      <c r="R43" t="s">
        <v>51</v>
      </c>
      <c r="S43">
        <v>992.8</v>
      </c>
      <c r="U43">
        <v>12</v>
      </c>
      <c r="V43">
        <v>728</v>
      </c>
      <c r="W43">
        <v>3.333E-3</v>
      </c>
      <c r="X43">
        <v>39</v>
      </c>
      <c r="Z43" t="s">
        <v>62</v>
      </c>
      <c r="AA43" s="74" t="s">
        <v>63</v>
      </c>
      <c r="AB43" t="s">
        <v>451</v>
      </c>
      <c r="AC43" s="75" t="s">
        <v>513</v>
      </c>
    </row>
    <row r="44" spans="3:31" ht="16" x14ac:dyDescent="0.2">
      <c r="C44" s="22" t="s">
        <v>238</v>
      </c>
      <c r="E44" s="69">
        <v>2175000</v>
      </c>
      <c r="F44" s="69"/>
      <c r="H44" t="s">
        <v>240</v>
      </c>
      <c r="I44">
        <v>4.0999999999999996</v>
      </c>
      <c r="J44">
        <v>8.6</v>
      </c>
      <c r="K44">
        <v>28.3</v>
      </c>
      <c r="L44">
        <v>27.2</v>
      </c>
      <c r="O44" t="s">
        <v>239</v>
      </c>
      <c r="P44" t="s">
        <v>239</v>
      </c>
      <c r="Q44" t="s">
        <v>240</v>
      </c>
      <c r="R44" t="s">
        <v>51</v>
      </c>
      <c r="T44" t="s">
        <v>34</v>
      </c>
      <c r="U44">
        <v>45</v>
      </c>
      <c r="V44" s="5">
        <v>2175000</v>
      </c>
      <c r="AA44" s="74" t="s">
        <v>241</v>
      </c>
      <c r="AB44" t="s">
        <v>453</v>
      </c>
      <c r="AC44" s="75" t="s">
        <v>513</v>
      </c>
    </row>
    <row r="45" spans="3:31" ht="16" x14ac:dyDescent="0.2">
      <c r="C45" s="22" t="s">
        <v>81</v>
      </c>
      <c r="E45" s="69">
        <v>6500</v>
      </c>
      <c r="F45" s="69">
        <v>84.5</v>
      </c>
      <c r="G45">
        <v>1638.53</v>
      </c>
      <c r="H45" t="s">
        <v>46</v>
      </c>
      <c r="M45">
        <v>84.5</v>
      </c>
      <c r="N45">
        <v>1638.53</v>
      </c>
      <c r="O45" t="s">
        <v>31</v>
      </c>
      <c r="P45">
        <v>4</v>
      </c>
      <c r="Q45" t="s">
        <v>46</v>
      </c>
      <c r="R45" t="s">
        <v>35</v>
      </c>
      <c r="T45" t="s">
        <v>35</v>
      </c>
      <c r="U45">
        <v>12.7</v>
      </c>
      <c r="V45" s="5">
        <v>6500</v>
      </c>
      <c r="W45">
        <v>1.562E-3</v>
      </c>
      <c r="X45">
        <v>38.200000000000003</v>
      </c>
      <c r="Z45" t="s">
        <v>516</v>
      </c>
      <c r="AA45" s="84" t="s">
        <v>82</v>
      </c>
      <c r="AB45" s="75" t="s">
        <v>454</v>
      </c>
      <c r="AC45" s="75" t="s">
        <v>513</v>
      </c>
    </row>
    <row r="46" spans="3:31" ht="16" x14ac:dyDescent="0.2">
      <c r="C46" s="22" t="s">
        <v>160</v>
      </c>
      <c r="E46" s="69">
        <v>200000</v>
      </c>
      <c r="F46" s="69">
        <v>26.03</v>
      </c>
      <c r="H46" t="s">
        <v>35</v>
      </c>
      <c r="M46">
        <v>26.03</v>
      </c>
      <c r="O46" t="s">
        <v>161</v>
      </c>
      <c r="P46">
        <v>14</v>
      </c>
      <c r="Q46" t="s">
        <v>35</v>
      </c>
      <c r="R46" t="s">
        <v>33</v>
      </c>
      <c r="U46">
        <v>31.5</v>
      </c>
      <c r="V46" s="5">
        <v>200000</v>
      </c>
      <c r="W46">
        <v>1.678E-3</v>
      </c>
      <c r="X46">
        <v>35.200000000000003</v>
      </c>
      <c r="Z46" t="s">
        <v>517</v>
      </c>
      <c r="AA46" s="74" t="s">
        <v>163</v>
      </c>
      <c r="AB46" t="s">
        <v>455</v>
      </c>
      <c r="AC46" s="75" t="s">
        <v>513</v>
      </c>
    </row>
    <row r="47" spans="3:31" ht="16" x14ac:dyDescent="0.2">
      <c r="C47" s="22" t="s">
        <v>56</v>
      </c>
      <c r="E47" s="69">
        <v>215000</v>
      </c>
      <c r="F47" s="69">
        <v>43.5</v>
      </c>
      <c r="G47">
        <v>245.8</v>
      </c>
      <c r="H47" t="s">
        <v>46</v>
      </c>
      <c r="M47">
        <v>43.5</v>
      </c>
      <c r="N47">
        <v>245.8</v>
      </c>
      <c r="O47" t="s">
        <v>31</v>
      </c>
      <c r="P47">
        <v>1</v>
      </c>
      <c r="Q47" t="s">
        <v>46</v>
      </c>
      <c r="R47" t="s">
        <v>33</v>
      </c>
      <c r="U47">
        <v>42.3</v>
      </c>
      <c r="V47" s="5">
        <v>215000</v>
      </c>
      <c r="AA47" s="74" t="s">
        <v>57</v>
      </c>
      <c r="AB47" t="s">
        <v>457</v>
      </c>
      <c r="AC47" s="75" t="s">
        <v>513</v>
      </c>
    </row>
    <row r="48" spans="3:31" ht="16" x14ac:dyDescent="0.2">
      <c r="C48" s="22" t="s">
        <v>56</v>
      </c>
      <c r="E48" s="69">
        <v>215000</v>
      </c>
      <c r="F48" s="69">
        <v>147.15</v>
      </c>
      <c r="G48">
        <v>333.35</v>
      </c>
      <c r="H48" t="s">
        <v>46</v>
      </c>
      <c r="M48">
        <v>147.15</v>
      </c>
      <c r="N48">
        <v>333.35</v>
      </c>
      <c r="O48" t="s">
        <v>31</v>
      </c>
      <c r="P48">
        <v>5</v>
      </c>
      <c r="Q48" t="s">
        <v>46</v>
      </c>
      <c r="R48" t="s">
        <v>33</v>
      </c>
      <c r="U48">
        <v>42.3</v>
      </c>
      <c r="V48" s="5">
        <v>215000</v>
      </c>
      <c r="AA48" t="s">
        <v>57</v>
      </c>
      <c r="AB48" t="s">
        <v>457</v>
      </c>
      <c r="AC48" s="75" t="s">
        <v>513</v>
      </c>
    </row>
    <row r="49" spans="3:31" ht="16" x14ac:dyDescent="0.2">
      <c r="C49" s="22" t="s">
        <v>56</v>
      </c>
      <c r="E49" s="69">
        <v>215000</v>
      </c>
      <c r="F49" s="69">
        <v>27</v>
      </c>
      <c r="G49">
        <v>109.7</v>
      </c>
      <c r="H49" t="s">
        <v>46</v>
      </c>
      <c r="M49">
        <v>27</v>
      </c>
      <c r="N49">
        <v>109.7</v>
      </c>
      <c r="O49" t="s">
        <v>31</v>
      </c>
      <c r="P49">
        <v>5</v>
      </c>
      <c r="Q49" t="s">
        <v>46</v>
      </c>
      <c r="R49" t="s">
        <v>33</v>
      </c>
      <c r="U49">
        <v>42.3</v>
      </c>
      <c r="V49" s="5">
        <v>215000</v>
      </c>
      <c r="Z49" t="s">
        <v>99</v>
      </c>
      <c r="AA49" t="s">
        <v>57</v>
      </c>
      <c r="AB49" t="s">
        <v>457</v>
      </c>
      <c r="AC49" s="75" t="s">
        <v>513</v>
      </c>
    </row>
    <row r="50" spans="3:31" ht="16" x14ac:dyDescent="0.2">
      <c r="C50" s="22" t="s">
        <v>56</v>
      </c>
      <c r="E50" s="69">
        <v>215000</v>
      </c>
      <c r="F50" s="69">
        <v>40.700000000000003</v>
      </c>
      <c r="G50">
        <v>171.5</v>
      </c>
      <c r="H50" t="s">
        <v>46</v>
      </c>
      <c r="M50">
        <v>40.700000000000003</v>
      </c>
      <c r="N50">
        <v>171.5</v>
      </c>
      <c r="O50" t="s">
        <v>31</v>
      </c>
      <c r="P50">
        <v>11</v>
      </c>
      <c r="Q50" t="s">
        <v>46</v>
      </c>
      <c r="R50" t="s">
        <v>33</v>
      </c>
      <c r="U50">
        <v>42.3</v>
      </c>
      <c r="V50" s="5">
        <v>215000</v>
      </c>
      <c r="AA50" t="s">
        <v>57</v>
      </c>
      <c r="AB50" t="s">
        <v>457</v>
      </c>
      <c r="AC50" s="75" t="s">
        <v>513</v>
      </c>
    </row>
    <row r="51" spans="3:31" ht="16" x14ac:dyDescent="0.2">
      <c r="C51" s="78" t="s">
        <v>56</v>
      </c>
      <c r="E51" s="69">
        <v>215000</v>
      </c>
      <c r="F51" s="69"/>
      <c r="H51" t="s">
        <v>46</v>
      </c>
      <c r="I51">
        <v>6.3</v>
      </c>
      <c r="K51">
        <v>19.2</v>
      </c>
      <c r="O51" t="s">
        <v>31</v>
      </c>
      <c r="P51">
        <v>2</v>
      </c>
      <c r="Q51" t="s">
        <v>46</v>
      </c>
      <c r="R51" t="s">
        <v>33</v>
      </c>
      <c r="U51">
        <v>42.3</v>
      </c>
      <c r="V51" s="5">
        <v>215000</v>
      </c>
      <c r="AA51" t="s">
        <v>57</v>
      </c>
      <c r="AB51" t="s">
        <v>457</v>
      </c>
      <c r="AC51" s="75" t="s">
        <v>513</v>
      </c>
    </row>
    <row r="52" spans="3:31" ht="16" x14ac:dyDescent="0.2">
      <c r="C52" s="78" t="s">
        <v>56</v>
      </c>
      <c r="E52" s="69">
        <v>215000</v>
      </c>
      <c r="F52" s="69"/>
      <c r="H52" t="s">
        <v>46</v>
      </c>
      <c r="J52">
        <v>102.75</v>
      </c>
      <c r="L52">
        <v>283.89999999999998</v>
      </c>
      <c r="O52" t="s">
        <v>31</v>
      </c>
      <c r="P52">
        <v>3</v>
      </c>
      <c r="Q52" t="s">
        <v>46</v>
      </c>
      <c r="R52" t="s">
        <v>33</v>
      </c>
      <c r="U52">
        <v>42.3</v>
      </c>
      <c r="V52" s="5">
        <v>215000</v>
      </c>
      <c r="AA52" t="s">
        <v>57</v>
      </c>
      <c r="AB52" t="s">
        <v>457</v>
      </c>
      <c r="AC52" s="75" t="s">
        <v>513</v>
      </c>
    </row>
    <row r="53" spans="3:31" ht="16" x14ac:dyDescent="0.2">
      <c r="C53" s="22" t="s">
        <v>53</v>
      </c>
      <c r="E53" s="69">
        <v>164500</v>
      </c>
      <c r="F53" s="69">
        <v>530</v>
      </c>
      <c r="G53">
        <v>4610</v>
      </c>
      <c r="H53" t="s">
        <v>46</v>
      </c>
      <c r="M53">
        <v>530</v>
      </c>
      <c r="N53">
        <v>4610</v>
      </c>
      <c r="O53" t="s">
        <v>31</v>
      </c>
      <c r="P53">
        <v>1</v>
      </c>
      <c r="Q53" t="s">
        <v>46</v>
      </c>
      <c r="R53" t="s">
        <v>51</v>
      </c>
      <c r="T53" t="s">
        <v>54</v>
      </c>
      <c r="U53">
        <v>24.3</v>
      </c>
      <c r="V53" s="5">
        <v>164500</v>
      </c>
      <c r="W53">
        <v>1.1709999999999999E-3</v>
      </c>
      <c r="X53">
        <v>38</v>
      </c>
      <c r="AA53" s="84" t="s">
        <v>55</v>
      </c>
      <c r="AB53" s="75" t="s">
        <v>458</v>
      </c>
      <c r="AC53" s="75" t="s">
        <v>513</v>
      </c>
    </row>
    <row r="54" spans="3:31" ht="16" x14ac:dyDescent="0.2">
      <c r="C54" s="22" t="s">
        <v>53</v>
      </c>
      <c r="E54" s="69">
        <v>164500</v>
      </c>
      <c r="F54" s="69">
        <v>1050</v>
      </c>
      <c r="G54">
        <v>4270</v>
      </c>
      <c r="H54" t="s">
        <v>46</v>
      </c>
      <c r="M54">
        <v>1050</v>
      </c>
      <c r="N54">
        <v>4270</v>
      </c>
      <c r="O54" t="s">
        <v>31</v>
      </c>
      <c r="P54">
        <v>4</v>
      </c>
      <c r="Q54" t="s">
        <v>46</v>
      </c>
      <c r="R54" t="s">
        <v>51</v>
      </c>
      <c r="T54" t="s">
        <v>54</v>
      </c>
      <c r="U54">
        <v>24.3</v>
      </c>
      <c r="V54" s="5">
        <v>164500</v>
      </c>
      <c r="W54">
        <v>1.1709999999999999E-3</v>
      </c>
      <c r="X54">
        <v>38</v>
      </c>
      <c r="AA54" s="84" t="s">
        <v>80</v>
      </c>
      <c r="AB54" s="75" t="s">
        <v>458</v>
      </c>
      <c r="AC54" s="75" t="s">
        <v>513</v>
      </c>
    </row>
    <row r="55" spans="3:31" ht="16" x14ac:dyDescent="0.2">
      <c r="C55" s="22" t="s">
        <v>53</v>
      </c>
      <c r="E55" s="69">
        <v>164500</v>
      </c>
      <c r="F55" s="69">
        <v>435</v>
      </c>
      <c r="G55">
        <v>1870</v>
      </c>
      <c r="H55" t="s">
        <v>46</v>
      </c>
      <c r="M55">
        <v>435</v>
      </c>
      <c r="N55">
        <v>1870</v>
      </c>
      <c r="O55" t="s">
        <v>31</v>
      </c>
      <c r="P55">
        <v>11</v>
      </c>
      <c r="Q55" t="s">
        <v>46</v>
      </c>
      <c r="R55" t="s">
        <v>51</v>
      </c>
      <c r="T55" t="s">
        <v>54</v>
      </c>
      <c r="U55">
        <v>24.3</v>
      </c>
      <c r="V55" s="5">
        <v>164500</v>
      </c>
      <c r="W55">
        <v>1.1709999999999999E-3</v>
      </c>
      <c r="X55">
        <v>38</v>
      </c>
      <c r="AA55" s="84" t="s">
        <v>146</v>
      </c>
      <c r="AB55" s="75" t="s">
        <v>458</v>
      </c>
      <c r="AC55" s="75" t="s">
        <v>513</v>
      </c>
    </row>
    <row r="56" spans="3:31" ht="16" x14ac:dyDescent="0.2">
      <c r="C56" s="22" t="s">
        <v>53</v>
      </c>
      <c r="E56" s="69">
        <v>164500</v>
      </c>
      <c r="F56" s="69"/>
      <c r="H56" t="s">
        <v>46</v>
      </c>
      <c r="I56">
        <v>30</v>
      </c>
      <c r="K56">
        <v>115</v>
      </c>
      <c r="O56" t="s">
        <v>31</v>
      </c>
      <c r="P56">
        <v>2</v>
      </c>
      <c r="Q56" t="s">
        <v>46</v>
      </c>
      <c r="R56" t="s">
        <v>51</v>
      </c>
      <c r="T56" t="s">
        <v>54</v>
      </c>
      <c r="U56">
        <v>24.3</v>
      </c>
      <c r="V56" s="5">
        <v>164500</v>
      </c>
      <c r="W56">
        <v>1.1709999999999999E-3</v>
      </c>
      <c r="X56">
        <v>38</v>
      </c>
      <c r="Z56" t="s">
        <v>199</v>
      </c>
      <c r="AA56" s="84" t="s">
        <v>200</v>
      </c>
      <c r="AB56" s="75" t="s">
        <v>458</v>
      </c>
      <c r="AC56" s="75" t="s">
        <v>513</v>
      </c>
    </row>
    <row r="57" spans="3:31" ht="16" x14ac:dyDescent="0.2">
      <c r="C57" s="22" t="s">
        <v>53</v>
      </c>
      <c r="E57" s="69">
        <v>164500</v>
      </c>
      <c r="F57" s="69"/>
      <c r="H57" t="s">
        <v>46</v>
      </c>
      <c r="J57">
        <v>640</v>
      </c>
      <c r="L57">
        <v>1320</v>
      </c>
      <c r="O57" t="s">
        <v>31</v>
      </c>
      <c r="P57">
        <v>3</v>
      </c>
      <c r="Q57" t="s">
        <v>46</v>
      </c>
      <c r="R57" t="s">
        <v>51</v>
      </c>
      <c r="T57" t="s">
        <v>54</v>
      </c>
      <c r="U57">
        <v>24.3</v>
      </c>
      <c r="V57" s="5">
        <v>164500</v>
      </c>
      <c r="W57">
        <v>1.1709999999999999E-3</v>
      </c>
      <c r="X57">
        <v>38</v>
      </c>
      <c r="Z57" t="s">
        <v>199</v>
      </c>
      <c r="AA57" s="84" t="s">
        <v>200</v>
      </c>
      <c r="AB57" s="75" t="s">
        <v>458</v>
      </c>
      <c r="AC57" s="75" t="s">
        <v>513</v>
      </c>
    </row>
    <row r="58" spans="3:31" ht="16" x14ac:dyDescent="0.2">
      <c r="C58" s="22" t="s">
        <v>188</v>
      </c>
      <c r="E58" s="69">
        <v>63000</v>
      </c>
      <c r="F58" s="69"/>
      <c r="H58" t="s">
        <v>46</v>
      </c>
      <c r="I58">
        <v>43.75</v>
      </c>
      <c r="K58">
        <v>744.95</v>
      </c>
      <c r="O58" t="s">
        <v>31</v>
      </c>
      <c r="P58">
        <v>2</v>
      </c>
      <c r="Q58" t="s">
        <v>46</v>
      </c>
      <c r="R58" t="s">
        <v>33</v>
      </c>
      <c r="T58" t="s">
        <v>34</v>
      </c>
      <c r="U58">
        <v>41.1</v>
      </c>
      <c r="V58" s="5">
        <v>63000</v>
      </c>
      <c r="Y58" t="s">
        <v>35</v>
      </c>
      <c r="Z58" t="s">
        <v>189</v>
      </c>
      <c r="AA58" s="74" t="s">
        <v>190</v>
      </c>
      <c r="AB58" t="s">
        <v>459</v>
      </c>
      <c r="AC58" s="75" t="s">
        <v>513</v>
      </c>
    </row>
    <row r="59" spans="3:31" ht="16" x14ac:dyDescent="0.2">
      <c r="C59" s="22" t="s">
        <v>137</v>
      </c>
      <c r="E59" s="69">
        <v>3178000</v>
      </c>
      <c r="F59" s="69"/>
      <c r="H59" t="s">
        <v>35</v>
      </c>
      <c r="I59">
        <v>49.643599999999999</v>
      </c>
      <c r="O59" t="s">
        <v>31</v>
      </c>
      <c r="P59" t="s">
        <v>281</v>
      </c>
      <c r="Q59" t="s">
        <v>35</v>
      </c>
      <c r="R59" t="s">
        <v>51</v>
      </c>
      <c r="T59" t="s">
        <v>34</v>
      </c>
      <c r="U59">
        <v>79.599999999999994</v>
      </c>
      <c r="V59" s="5">
        <v>3178000</v>
      </c>
      <c r="W59">
        <v>6.3599999999999996E-4</v>
      </c>
      <c r="X59">
        <v>35.799999999999997</v>
      </c>
      <c r="Z59" t="s">
        <v>139</v>
      </c>
      <c r="AA59" s="74" t="s">
        <v>140</v>
      </c>
      <c r="AB59" t="s">
        <v>460</v>
      </c>
      <c r="AC59" s="75" t="s">
        <v>513</v>
      </c>
    </row>
    <row r="60" spans="3:31" ht="16" x14ac:dyDescent="0.2">
      <c r="C60" s="22" t="s">
        <v>141</v>
      </c>
      <c r="E60" s="69"/>
      <c r="F60" s="69"/>
      <c r="H60" t="s">
        <v>35</v>
      </c>
      <c r="M60">
        <v>126.7</v>
      </c>
      <c r="O60" t="s">
        <v>31</v>
      </c>
      <c r="P60">
        <v>10</v>
      </c>
      <c r="Q60" t="s">
        <v>35</v>
      </c>
      <c r="R60" t="s">
        <v>51</v>
      </c>
      <c r="T60" t="s">
        <v>84</v>
      </c>
      <c r="U60">
        <v>79.599999999999994</v>
      </c>
      <c r="V60" s="5">
        <v>3178000</v>
      </c>
      <c r="W60">
        <v>6.3599999999999996E-4</v>
      </c>
      <c r="X60">
        <v>35.799999999999997</v>
      </c>
      <c r="Z60" t="s">
        <v>142</v>
      </c>
      <c r="AA60" s="84" t="s">
        <v>143</v>
      </c>
      <c r="AB60" s="75" t="s">
        <v>461</v>
      </c>
      <c r="AC60" s="75" t="s">
        <v>513</v>
      </c>
    </row>
    <row r="61" spans="3:31" ht="16" x14ac:dyDescent="0.2">
      <c r="C61" s="73" t="s">
        <v>141</v>
      </c>
      <c r="E61" s="69">
        <v>3178000</v>
      </c>
      <c r="F61" s="69">
        <v>17.100000000000001</v>
      </c>
      <c r="P61" t="s">
        <v>281</v>
      </c>
      <c r="V61" s="5"/>
      <c r="AA61" s="84" t="s">
        <v>527</v>
      </c>
      <c r="AB61" s="75"/>
      <c r="AC61" s="75"/>
    </row>
    <row r="62" spans="3:31" ht="16" x14ac:dyDescent="0.2">
      <c r="C62" s="22" t="s">
        <v>250</v>
      </c>
      <c r="E62" s="69">
        <v>444900</v>
      </c>
      <c r="F62" s="69">
        <v>24.02</v>
      </c>
      <c r="G62">
        <v>33.51</v>
      </c>
      <c r="H62" t="s">
        <v>157</v>
      </c>
      <c r="M62">
        <v>24.02</v>
      </c>
      <c r="N62">
        <v>33.51</v>
      </c>
      <c r="O62" t="s">
        <v>154</v>
      </c>
      <c r="P62">
        <v>14</v>
      </c>
      <c r="Q62" t="s">
        <v>157</v>
      </c>
      <c r="R62" t="s">
        <v>51</v>
      </c>
      <c r="U62">
        <v>57</v>
      </c>
      <c r="V62" s="5">
        <v>444900</v>
      </c>
      <c r="W62">
        <v>8.1499999999999997E-4</v>
      </c>
      <c r="Y62">
        <v>65000</v>
      </c>
      <c r="Z62" t="s">
        <v>251</v>
      </c>
      <c r="AA62" s="84" t="s">
        <v>252</v>
      </c>
      <c r="AB62" s="75" t="s">
        <v>462</v>
      </c>
      <c r="AC62" s="75" t="s">
        <v>513</v>
      </c>
    </row>
    <row r="63" spans="3:31" ht="17" customHeight="1" x14ac:dyDescent="0.2">
      <c r="C63" s="22" t="s">
        <v>253</v>
      </c>
      <c r="E63" s="69">
        <v>384000</v>
      </c>
      <c r="F63" s="69"/>
      <c r="H63" t="s">
        <v>157</v>
      </c>
      <c r="J63">
        <v>16.2</v>
      </c>
      <c r="L63">
        <v>25.1</v>
      </c>
      <c r="O63" t="s">
        <v>154</v>
      </c>
      <c r="P63">
        <v>14</v>
      </c>
      <c r="Q63" t="s">
        <v>157</v>
      </c>
      <c r="R63" t="s">
        <v>51</v>
      </c>
      <c r="T63" t="s">
        <v>34</v>
      </c>
      <c r="U63">
        <v>31</v>
      </c>
      <c r="V63" s="5">
        <v>384000</v>
      </c>
      <c r="AA63" s="74" t="s">
        <v>254</v>
      </c>
      <c r="AB63" t="s">
        <v>463</v>
      </c>
      <c r="AC63" s="75" t="s">
        <v>513</v>
      </c>
    </row>
    <row r="64" spans="3:31" ht="16" x14ac:dyDescent="0.2">
      <c r="C64" s="22" t="s">
        <v>219</v>
      </c>
      <c r="E64" s="69">
        <v>3900</v>
      </c>
      <c r="F64" s="69"/>
      <c r="H64" t="s">
        <v>217</v>
      </c>
      <c r="I64">
        <v>213.6</v>
      </c>
      <c r="K64">
        <v>384.6</v>
      </c>
      <c r="O64" t="s">
        <v>31</v>
      </c>
      <c r="P64">
        <v>9</v>
      </c>
      <c r="Q64" t="s">
        <v>217</v>
      </c>
      <c r="R64" t="s">
        <v>51</v>
      </c>
      <c r="T64" t="s">
        <v>34</v>
      </c>
      <c r="U64">
        <v>30</v>
      </c>
      <c r="V64" s="5">
        <v>3900</v>
      </c>
      <c r="W64">
        <v>2.47E-3</v>
      </c>
      <c r="X64">
        <v>38.1</v>
      </c>
      <c r="AA64" s="84" t="s">
        <v>218</v>
      </c>
      <c r="AB64" s="75" t="s">
        <v>443</v>
      </c>
      <c r="AC64" s="75" t="s">
        <v>513</v>
      </c>
      <c r="AD64" t="s">
        <v>433</v>
      </c>
      <c r="AE64" t="s">
        <v>521</v>
      </c>
    </row>
    <row r="65" spans="3:31" ht="16" x14ac:dyDescent="0.2">
      <c r="C65" s="22" t="s">
        <v>219</v>
      </c>
      <c r="E65" s="69">
        <v>3900</v>
      </c>
      <c r="F65" s="69"/>
      <c r="H65" t="s">
        <v>217</v>
      </c>
      <c r="J65">
        <v>354.7</v>
      </c>
      <c r="L65">
        <v>544.5</v>
      </c>
      <c r="O65" t="s">
        <v>154</v>
      </c>
      <c r="P65">
        <v>14</v>
      </c>
      <c r="Q65" t="s">
        <v>217</v>
      </c>
      <c r="R65" t="s">
        <v>51</v>
      </c>
      <c r="T65" t="s">
        <v>34</v>
      </c>
      <c r="U65">
        <v>30</v>
      </c>
      <c r="V65" s="5">
        <v>3900</v>
      </c>
      <c r="W65">
        <v>2.47E-3</v>
      </c>
      <c r="X65">
        <v>38.1</v>
      </c>
      <c r="AA65" s="84" t="s">
        <v>218</v>
      </c>
      <c r="AB65" s="75" t="s">
        <v>443</v>
      </c>
      <c r="AC65" s="75" t="s">
        <v>513</v>
      </c>
      <c r="AD65" t="s">
        <v>433</v>
      </c>
      <c r="AE65" t="s">
        <v>521</v>
      </c>
    </row>
    <row r="66" spans="3:31" ht="16" x14ac:dyDescent="0.2">
      <c r="C66" s="22" t="s">
        <v>125</v>
      </c>
      <c r="E66" s="69">
        <v>20.87</v>
      </c>
      <c r="F66" s="69"/>
      <c r="H66" t="s">
        <v>46</v>
      </c>
      <c r="J66">
        <v>1743.1</v>
      </c>
      <c r="O66" t="s">
        <v>31</v>
      </c>
      <c r="P66">
        <v>10</v>
      </c>
      <c r="Q66" t="s">
        <v>46</v>
      </c>
      <c r="R66" t="s">
        <v>51</v>
      </c>
      <c r="T66" t="s">
        <v>126</v>
      </c>
      <c r="V66" s="5">
        <v>20.87</v>
      </c>
      <c r="Z66" t="s">
        <v>127</v>
      </c>
      <c r="AA66" s="84" t="s">
        <v>128</v>
      </c>
      <c r="AB66" s="75" t="s">
        <v>466</v>
      </c>
      <c r="AC66" s="75" t="s">
        <v>513</v>
      </c>
    </row>
    <row r="67" spans="3:31" ht="16" x14ac:dyDescent="0.2">
      <c r="C67" s="80" t="s">
        <v>525</v>
      </c>
      <c r="E67" s="69">
        <v>20.87</v>
      </c>
      <c r="F67" s="69">
        <v>797</v>
      </c>
      <c r="G67">
        <v>2377</v>
      </c>
      <c r="H67" t="s">
        <v>46</v>
      </c>
      <c r="P67">
        <v>12</v>
      </c>
      <c r="V67" s="5"/>
      <c r="AA67" t="s">
        <v>526</v>
      </c>
      <c r="AB67" s="75"/>
      <c r="AC67" s="75"/>
    </row>
    <row r="68" spans="3:31" ht="16" x14ac:dyDescent="0.2">
      <c r="C68" s="73" t="s">
        <v>524</v>
      </c>
      <c r="E68" s="69">
        <v>29.7</v>
      </c>
      <c r="F68" s="69">
        <v>183</v>
      </c>
      <c r="G68">
        <v>589</v>
      </c>
      <c r="H68" t="s">
        <v>46</v>
      </c>
      <c r="P68">
        <v>12</v>
      </c>
      <c r="V68" s="5"/>
      <c r="AA68" s="10" t="s">
        <v>526</v>
      </c>
      <c r="AB68" s="75"/>
      <c r="AC68" s="75"/>
    </row>
    <row r="69" spans="3:31" ht="16" x14ac:dyDescent="0.2">
      <c r="C69" s="73" t="s">
        <v>538</v>
      </c>
      <c r="E69" s="69">
        <v>37</v>
      </c>
      <c r="F69" s="69">
        <v>749</v>
      </c>
      <c r="G69">
        <v>1987</v>
      </c>
      <c r="H69" t="s">
        <v>46</v>
      </c>
      <c r="P69">
        <v>12</v>
      </c>
      <c r="V69" s="5"/>
      <c r="AA69" t="s">
        <v>526</v>
      </c>
      <c r="AB69" s="75"/>
      <c r="AC69" s="75"/>
    </row>
    <row r="70" spans="3:31" ht="16" x14ac:dyDescent="0.2">
      <c r="C70" s="22" t="s">
        <v>129</v>
      </c>
      <c r="E70" s="69">
        <v>30</v>
      </c>
      <c r="F70" s="69"/>
      <c r="H70" t="s">
        <v>46</v>
      </c>
      <c r="J70">
        <v>2842.33</v>
      </c>
      <c r="O70" t="s">
        <v>31</v>
      </c>
      <c r="P70">
        <v>10</v>
      </c>
      <c r="Q70" t="s">
        <v>46</v>
      </c>
      <c r="R70" t="s">
        <v>51</v>
      </c>
      <c r="T70" t="s">
        <v>126</v>
      </c>
      <c r="U70">
        <v>5.9</v>
      </c>
      <c r="V70" s="5">
        <v>30</v>
      </c>
      <c r="W70">
        <v>7.9799999999999992E-3</v>
      </c>
      <c r="X70">
        <v>37.200000000000003</v>
      </c>
      <c r="Z70" t="s">
        <v>130</v>
      </c>
      <c r="AA70" s="84" t="s">
        <v>128</v>
      </c>
      <c r="AB70" s="75" t="s">
        <v>466</v>
      </c>
      <c r="AC70" s="75" t="s">
        <v>513</v>
      </c>
    </row>
    <row r="71" spans="3:31" ht="16" x14ac:dyDescent="0.2">
      <c r="C71" s="22" t="s">
        <v>131</v>
      </c>
      <c r="E71" s="69">
        <v>37</v>
      </c>
      <c r="F71" s="69"/>
      <c r="H71" t="s">
        <v>46</v>
      </c>
      <c r="J71">
        <v>1711.28</v>
      </c>
      <c r="O71" t="s">
        <v>31</v>
      </c>
      <c r="P71">
        <v>10</v>
      </c>
      <c r="Q71" t="s">
        <v>46</v>
      </c>
      <c r="R71" t="s">
        <v>51</v>
      </c>
      <c r="T71" t="s">
        <v>126</v>
      </c>
      <c r="U71">
        <v>8.1999999999999993</v>
      </c>
      <c r="V71" s="5">
        <v>37</v>
      </c>
      <c r="W71">
        <v>4.1840000000000002E-3</v>
      </c>
      <c r="X71">
        <v>36.1</v>
      </c>
      <c r="Z71" t="s">
        <v>130</v>
      </c>
      <c r="AA71" t="s">
        <v>128</v>
      </c>
      <c r="AB71" t="s">
        <v>466</v>
      </c>
      <c r="AC71" s="75" t="s">
        <v>513</v>
      </c>
    </row>
    <row r="72" spans="3:31" ht="16" x14ac:dyDescent="0.2">
      <c r="C72" s="22" t="s">
        <v>207</v>
      </c>
      <c r="E72" s="69">
        <v>800000</v>
      </c>
      <c r="F72" s="69"/>
      <c r="H72" t="s">
        <v>46</v>
      </c>
      <c r="I72">
        <v>23.725000000000001</v>
      </c>
      <c r="K72">
        <v>49.3</v>
      </c>
      <c r="O72" t="s">
        <v>31</v>
      </c>
      <c r="P72">
        <v>9</v>
      </c>
      <c r="Q72" t="s">
        <v>46</v>
      </c>
      <c r="R72" t="s">
        <v>51</v>
      </c>
      <c r="T72" t="s">
        <v>84</v>
      </c>
      <c r="U72">
        <v>39.5</v>
      </c>
      <c r="V72" s="5">
        <v>800000</v>
      </c>
      <c r="W72">
        <v>8.7399999999999999E-4</v>
      </c>
      <c r="X72">
        <v>37.1</v>
      </c>
      <c r="Z72" t="s">
        <v>208</v>
      </c>
      <c r="AA72" s="74" t="s">
        <v>209</v>
      </c>
      <c r="AB72" t="s">
        <v>467</v>
      </c>
      <c r="AC72" s="75" t="s">
        <v>513</v>
      </c>
    </row>
    <row r="73" spans="3:31" ht="16" x14ac:dyDescent="0.2">
      <c r="C73" s="22" t="s">
        <v>207</v>
      </c>
      <c r="E73" s="69">
        <v>800000</v>
      </c>
      <c r="F73" s="69"/>
      <c r="H73" t="s">
        <v>46</v>
      </c>
      <c r="J73">
        <v>64.758300000000006</v>
      </c>
      <c r="L73">
        <v>178.8</v>
      </c>
      <c r="O73" t="s">
        <v>31</v>
      </c>
      <c r="P73">
        <v>10</v>
      </c>
      <c r="Q73" t="s">
        <v>46</v>
      </c>
      <c r="R73" t="s">
        <v>51</v>
      </c>
      <c r="T73" t="s">
        <v>84</v>
      </c>
      <c r="U73">
        <v>39.5</v>
      </c>
      <c r="V73" s="5">
        <v>800000</v>
      </c>
      <c r="W73">
        <v>8.7399999999999999E-4</v>
      </c>
      <c r="X73">
        <v>37.1</v>
      </c>
      <c r="Z73" t="s">
        <v>208</v>
      </c>
      <c r="AA73" s="74" t="s">
        <v>209</v>
      </c>
      <c r="AB73" t="s">
        <v>467</v>
      </c>
      <c r="AC73" s="75" t="s">
        <v>513</v>
      </c>
    </row>
    <row r="74" spans="3:31" ht="16" x14ac:dyDescent="0.2">
      <c r="C74" s="22" t="s">
        <v>49</v>
      </c>
      <c r="D74">
        <v>1500</v>
      </c>
      <c r="E74" s="69">
        <v>1600</v>
      </c>
      <c r="F74" s="69"/>
      <c r="H74" t="s">
        <v>46</v>
      </c>
      <c r="I74">
        <v>1054</v>
      </c>
      <c r="K74" s="5">
        <v>11130</v>
      </c>
      <c r="O74" t="s">
        <v>31</v>
      </c>
      <c r="P74">
        <v>1</v>
      </c>
      <c r="Q74" t="s">
        <v>46</v>
      </c>
      <c r="R74" t="s">
        <v>51</v>
      </c>
      <c r="S74">
        <v>1500</v>
      </c>
      <c r="T74" t="s">
        <v>34</v>
      </c>
      <c r="V74" s="5">
        <v>1600</v>
      </c>
      <c r="W74">
        <v>4.1840000000000002E-3</v>
      </c>
      <c r="X74">
        <v>39.799999999999997</v>
      </c>
      <c r="AA74" s="74" t="s">
        <v>52</v>
      </c>
      <c r="AB74" t="s">
        <v>470</v>
      </c>
      <c r="AC74" s="75" t="s">
        <v>513</v>
      </c>
    </row>
    <row r="77" spans="3:31" ht="16" x14ac:dyDescent="0.2">
      <c r="C77" s="73" t="s">
        <v>191</v>
      </c>
      <c r="E77" s="69">
        <v>4800000</v>
      </c>
      <c r="F77" s="69">
        <f>(78.9+71.5)/2</f>
        <v>75.2</v>
      </c>
      <c r="H77" t="s">
        <v>35</v>
      </c>
      <c r="M77">
        <v>332</v>
      </c>
      <c r="O77" t="s">
        <v>31</v>
      </c>
      <c r="P77">
        <v>4</v>
      </c>
      <c r="Q77" t="s">
        <v>35</v>
      </c>
      <c r="R77" t="s">
        <v>51</v>
      </c>
      <c r="T77" t="s">
        <v>34</v>
      </c>
      <c r="U77">
        <v>65</v>
      </c>
      <c r="V77">
        <v>3940034</v>
      </c>
      <c r="W77">
        <v>8.9999999999999998E-4</v>
      </c>
      <c r="X77">
        <v>36.200000000000003</v>
      </c>
      <c r="Y77" t="s">
        <v>35</v>
      </c>
      <c r="Z77" t="s">
        <v>192</v>
      </c>
      <c r="AA77" s="84" t="s">
        <v>528</v>
      </c>
      <c r="AB77" s="75"/>
      <c r="AC77" s="75" t="s">
        <v>513</v>
      </c>
    </row>
    <row r="78" spans="3:31" ht="16" x14ac:dyDescent="0.2">
      <c r="C78" s="22" t="s">
        <v>167</v>
      </c>
      <c r="E78" s="69">
        <v>26500</v>
      </c>
      <c r="F78" s="69">
        <v>267.75</v>
      </c>
      <c r="G78">
        <v>4446</v>
      </c>
      <c r="H78" t="s">
        <v>46</v>
      </c>
      <c r="M78">
        <v>267.75</v>
      </c>
      <c r="N78">
        <v>4446</v>
      </c>
      <c r="O78" t="s">
        <v>168</v>
      </c>
      <c r="P78">
        <v>14</v>
      </c>
      <c r="Q78" t="s">
        <v>46</v>
      </c>
      <c r="R78" t="s">
        <v>51</v>
      </c>
      <c r="T78" t="s">
        <v>169</v>
      </c>
      <c r="U78">
        <v>17</v>
      </c>
      <c r="V78" s="5">
        <v>26500</v>
      </c>
      <c r="W78">
        <v>3.7729999999999999E-3</v>
      </c>
      <c r="Z78" t="s">
        <v>170</v>
      </c>
      <c r="AA78" s="74" t="s">
        <v>171</v>
      </c>
      <c r="AB78" t="s">
        <v>473</v>
      </c>
      <c r="AC78" s="75" t="s">
        <v>513</v>
      </c>
    </row>
    <row r="79" spans="3:31" ht="16" x14ac:dyDescent="0.2">
      <c r="C79" s="22" t="s">
        <v>259</v>
      </c>
      <c r="E79" s="69">
        <v>3500</v>
      </c>
      <c r="F79" s="69"/>
      <c r="H79" t="s">
        <v>46</v>
      </c>
      <c r="J79">
        <v>132</v>
      </c>
      <c r="L79">
        <v>4417</v>
      </c>
      <c r="O79" t="s">
        <v>154</v>
      </c>
      <c r="P79">
        <v>14</v>
      </c>
      <c r="Q79" t="s">
        <v>46</v>
      </c>
      <c r="R79" t="s">
        <v>51</v>
      </c>
      <c r="T79" t="s">
        <v>260</v>
      </c>
      <c r="U79">
        <v>21.2</v>
      </c>
      <c r="V79" s="5">
        <v>3500</v>
      </c>
      <c r="W79">
        <v>2.0079999999999998E-3</v>
      </c>
      <c r="X79">
        <v>36.5</v>
      </c>
      <c r="Z79" t="s">
        <v>261</v>
      </c>
      <c r="AA79" s="74" t="s">
        <v>262</v>
      </c>
      <c r="AB79" t="s">
        <v>475</v>
      </c>
      <c r="AC79" s="75" t="s">
        <v>513</v>
      </c>
    </row>
    <row r="80" spans="3:31" ht="16" x14ac:dyDescent="0.2">
      <c r="C80" s="22" t="s">
        <v>83</v>
      </c>
      <c r="E80" s="69">
        <v>17000</v>
      </c>
      <c r="F80" s="69">
        <v>181.5</v>
      </c>
      <c r="G80">
        <v>770.5</v>
      </c>
      <c r="H80" t="s">
        <v>46</v>
      </c>
      <c r="M80">
        <v>181.5</v>
      </c>
      <c r="N80">
        <v>770.5</v>
      </c>
      <c r="O80" t="s">
        <v>31</v>
      </c>
      <c r="P80">
        <v>4</v>
      </c>
      <c r="Q80" t="s">
        <v>46</v>
      </c>
      <c r="R80" t="s">
        <v>51</v>
      </c>
      <c r="T80" t="s">
        <v>84</v>
      </c>
      <c r="U80">
        <v>14.8</v>
      </c>
      <c r="V80" s="5">
        <v>17000</v>
      </c>
      <c r="AA80" s="74" t="s">
        <v>85</v>
      </c>
      <c r="AB80" t="s">
        <v>442</v>
      </c>
      <c r="AC80" s="75" t="s">
        <v>513</v>
      </c>
    </row>
    <row r="81" spans="3:29" ht="16" x14ac:dyDescent="0.2">
      <c r="C81" s="22" t="s">
        <v>220</v>
      </c>
      <c r="E81" s="69">
        <v>100000</v>
      </c>
      <c r="F81" s="69"/>
      <c r="H81" t="s">
        <v>217</v>
      </c>
      <c r="I81">
        <v>48.7</v>
      </c>
      <c r="K81">
        <v>1428.8</v>
      </c>
      <c r="O81" t="s">
        <v>31</v>
      </c>
      <c r="P81">
        <v>9</v>
      </c>
      <c r="Q81" t="s">
        <v>217</v>
      </c>
      <c r="R81" t="s">
        <v>51</v>
      </c>
      <c r="T81" t="s">
        <v>34</v>
      </c>
      <c r="U81">
        <v>33.299999999999997</v>
      </c>
      <c r="V81" s="5">
        <v>100000</v>
      </c>
      <c r="W81">
        <v>7.0299999999999996E-4</v>
      </c>
      <c r="AA81" s="74" t="s">
        <v>218</v>
      </c>
      <c r="AB81" t="s">
        <v>443</v>
      </c>
      <c r="AC81" s="75" t="s">
        <v>513</v>
      </c>
    </row>
    <row r="82" spans="3:29" ht="16" x14ac:dyDescent="0.2">
      <c r="C82" s="22" t="s">
        <v>220</v>
      </c>
      <c r="E82" s="69">
        <v>100000</v>
      </c>
      <c r="F82" s="69"/>
      <c r="H82" t="s">
        <v>217</v>
      </c>
      <c r="J82">
        <v>64.099999999999994</v>
      </c>
      <c r="L82">
        <v>666.5</v>
      </c>
      <c r="O82" t="s">
        <v>154</v>
      </c>
      <c r="P82">
        <v>14</v>
      </c>
      <c r="Q82" t="s">
        <v>217</v>
      </c>
      <c r="R82" t="s">
        <v>51</v>
      </c>
      <c r="T82" t="s">
        <v>34</v>
      </c>
      <c r="U82">
        <v>33.299999999999997</v>
      </c>
      <c r="V82" s="5">
        <v>100000</v>
      </c>
      <c r="W82">
        <v>7.0299999999999996E-4</v>
      </c>
      <c r="AA82" s="74" t="s">
        <v>218</v>
      </c>
      <c r="AB82" t="s">
        <v>443</v>
      </c>
      <c r="AC82" s="75" t="s">
        <v>513</v>
      </c>
    </row>
    <row r="83" spans="3:29" ht="16" x14ac:dyDescent="0.2">
      <c r="C83" s="22" t="s">
        <v>77</v>
      </c>
      <c r="E83" s="69">
        <v>105</v>
      </c>
      <c r="F83" s="69">
        <v>204.55</v>
      </c>
      <c r="G83">
        <v>346</v>
      </c>
      <c r="H83" t="s">
        <v>46</v>
      </c>
      <c r="M83">
        <v>204.55</v>
      </c>
      <c r="N83">
        <v>346</v>
      </c>
      <c r="O83" t="s">
        <v>31</v>
      </c>
      <c r="P83">
        <v>4</v>
      </c>
      <c r="Q83" t="s">
        <v>46</v>
      </c>
      <c r="R83" t="s">
        <v>51</v>
      </c>
      <c r="T83" t="s">
        <v>34</v>
      </c>
      <c r="U83">
        <v>3.9</v>
      </c>
      <c r="V83">
        <v>105</v>
      </c>
      <c r="W83">
        <v>6.3769999999999999E-3</v>
      </c>
      <c r="X83">
        <v>38.1</v>
      </c>
      <c r="Z83" t="s">
        <v>78</v>
      </c>
      <c r="AA83" s="74" t="s">
        <v>79</v>
      </c>
      <c r="AB83" t="s">
        <v>476</v>
      </c>
      <c r="AC83" s="75" t="s">
        <v>513</v>
      </c>
    </row>
    <row r="84" spans="3:29" ht="16" x14ac:dyDescent="0.2">
      <c r="C84" s="22" t="s">
        <v>228</v>
      </c>
      <c r="E84" s="69">
        <v>12000</v>
      </c>
      <c r="F84" s="69"/>
      <c r="H84" t="s">
        <v>230</v>
      </c>
      <c r="I84">
        <v>47.548299999999998</v>
      </c>
      <c r="K84">
        <v>65.816100000000006</v>
      </c>
      <c r="O84" t="s">
        <v>229</v>
      </c>
      <c r="P84" t="s">
        <v>229</v>
      </c>
      <c r="Q84" t="s">
        <v>230</v>
      </c>
      <c r="R84" t="s">
        <v>51</v>
      </c>
      <c r="T84" t="s">
        <v>231</v>
      </c>
      <c r="U84" s="5">
        <v>20</v>
      </c>
      <c r="V84" s="5">
        <v>12000</v>
      </c>
      <c r="Y84" t="s">
        <v>35</v>
      </c>
      <c r="Z84" t="s">
        <v>232</v>
      </c>
      <c r="AA84" s="74" t="s">
        <v>512</v>
      </c>
      <c r="AB84" t="s">
        <v>511</v>
      </c>
      <c r="AC84" s="75" t="s">
        <v>513</v>
      </c>
    </row>
    <row r="85" spans="3:29" ht="16" x14ac:dyDescent="0.2">
      <c r="C85" s="22" t="s">
        <v>203</v>
      </c>
      <c r="E85" s="69">
        <v>1332</v>
      </c>
      <c r="F85" s="69"/>
      <c r="H85" t="s">
        <v>46</v>
      </c>
      <c r="I85">
        <v>58.4</v>
      </c>
      <c r="K85">
        <v>104.2</v>
      </c>
      <c r="O85" t="s">
        <v>31</v>
      </c>
      <c r="P85">
        <v>9</v>
      </c>
      <c r="Q85" t="s">
        <v>46</v>
      </c>
      <c r="R85" t="s">
        <v>51</v>
      </c>
      <c r="U85">
        <v>17.399999999999999</v>
      </c>
      <c r="V85" s="5">
        <v>1332</v>
      </c>
      <c r="Z85" t="s">
        <v>205</v>
      </c>
      <c r="AA85" s="74" t="s">
        <v>206</v>
      </c>
      <c r="AB85" t="s">
        <v>478</v>
      </c>
      <c r="AC85" s="75" t="s">
        <v>513</v>
      </c>
    </row>
    <row r="86" spans="3:29" ht="16" x14ac:dyDescent="0.2">
      <c r="C86" s="22" t="s">
        <v>203</v>
      </c>
      <c r="E86" s="69">
        <v>1332</v>
      </c>
      <c r="F86" s="69"/>
      <c r="H86" t="s">
        <v>46</v>
      </c>
      <c r="J86">
        <v>1030</v>
      </c>
      <c r="L86">
        <v>2120</v>
      </c>
      <c r="O86" t="s">
        <v>31</v>
      </c>
      <c r="P86">
        <v>10</v>
      </c>
      <c r="Q86" t="s">
        <v>46</v>
      </c>
      <c r="R86" t="s">
        <v>51</v>
      </c>
      <c r="U86">
        <v>17.399999999999999</v>
      </c>
      <c r="V86" s="5">
        <v>1332</v>
      </c>
      <c r="Z86" t="s">
        <v>205</v>
      </c>
      <c r="AA86" s="74" t="s">
        <v>206</v>
      </c>
      <c r="AB86" t="s">
        <v>478</v>
      </c>
      <c r="AC86" s="75" t="s">
        <v>513</v>
      </c>
    </row>
    <row r="87" spans="3:29" ht="16" x14ac:dyDescent="0.2">
      <c r="C87" s="22" t="s">
        <v>221</v>
      </c>
      <c r="E87" s="69">
        <v>1021</v>
      </c>
      <c r="F87" s="69"/>
      <c r="H87" t="s">
        <v>217</v>
      </c>
      <c r="I87">
        <v>170.1</v>
      </c>
      <c r="K87">
        <v>324.60000000000002</v>
      </c>
      <c r="O87" t="s">
        <v>31</v>
      </c>
      <c r="P87">
        <v>9</v>
      </c>
      <c r="Q87" t="s">
        <v>217</v>
      </c>
      <c r="R87" t="s">
        <v>51</v>
      </c>
      <c r="T87" t="s">
        <v>34</v>
      </c>
      <c r="U87">
        <v>9.4</v>
      </c>
      <c r="V87" s="5">
        <v>1021</v>
      </c>
      <c r="Y87" t="s">
        <v>35</v>
      </c>
      <c r="AA87" s="74" t="s">
        <v>218</v>
      </c>
      <c r="AB87" t="s">
        <v>443</v>
      </c>
      <c r="AC87" s="75" t="s">
        <v>513</v>
      </c>
    </row>
    <row r="88" spans="3:29" ht="16" x14ac:dyDescent="0.2">
      <c r="C88" s="22" t="s">
        <v>221</v>
      </c>
      <c r="E88" s="69">
        <v>1021</v>
      </c>
      <c r="F88" s="69"/>
      <c r="H88" t="s">
        <v>217</v>
      </c>
      <c r="J88">
        <v>101.9</v>
      </c>
      <c r="L88">
        <v>174.7</v>
      </c>
      <c r="O88" t="s">
        <v>154</v>
      </c>
      <c r="P88">
        <v>14</v>
      </c>
      <c r="Q88" t="s">
        <v>217</v>
      </c>
      <c r="R88" t="s">
        <v>51</v>
      </c>
      <c r="T88" t="s">
        <v>34</v>
      </c>
      <c r="U88">
        <v>9.4</v>
      </c>
      <c r="V88" s="5">
        <v>1021</v>
      </c>
      <c r="Y88" t="s">
        <v>35</v>
      </c>
      <c r="AA88" s="74" t="s">
        <v>218</v>
      </c>
      <c r="AB88" t="s">
        <v>443</v>
      </c>
      <c r="AC88" s="75" t="s">
        <v>513</v>
      </c>
    </row>
    <row r="89" spans="3:29" ht="16" x14ac:dyDescent="0.2">
      <c r="C89" s="22" t="s">
        <v>222</v>
      </c>
      <c r="E89" s="69">
        <v>19500</v>
      </c>
      <c r="F89" s="69"/>
      <c r="H89" t="s">
        <v>217</v>
      </c>
      <c r="I89">
        <v>248.8</v>
      </c>
      <c r="K89">
        <v>1100.7</v>
      </c>
      <c r="O89" t="s">
        <v>31</v>
      </c>
      <c r="P89">
        <v>9</v>
      </c>
      <c r="Q89" t="s">
        <v>217</v>
      </c>
      <c r="R89" t="s">
        <v>51</v>
      </c>
      <c r="T89" t="s">
        <v>34</v>
      </c>
      <c r="U89">
        <v>19.8</v>
      </c>
      <c r="V89" s="5">
        <v>19500</v>
      </c>
      <c r="Y89" t="s">
        <v>35</v>
      </c>
      <c r="AA89" s="74" t="s">
        <v>218</v>
      </c>
      <c r="AB89" t="s">
        <v>443</v>
      </c>
      <c r="AC89" s="75" t="s">
        <v>513</v>
      </c>
    </row>
    <row r="90" spans="3:29" ht="16" x14ac:dyDescent="0.2">
      <c r="C90" s="22" t="s">
        <v>222</v>
      </c>
      <c r="E90" s="69">
        <v>19500</v>
      </c>
      <c r="F90" s="69"/>
      <c r="H90" t="s">
        <v>217</v>
      </c>
      <c r="J90">
        <v>302.2</v>
      </c>
      <c r="L90">
        <v>1621.8</v>
      </c>
      <c r="O90" t="s">
        <v>154</v>
      </c>
      <c r="P90">
        <v>14</v>
      </c>
      <c r="Q90" t="s">
        <v>217</v>
      </c>
      <c r="R90" t="s">
        <v>51</v>
      </c>
      <c r="T90" t="s">
        <v>34</v>
      </c>
      <c r="U90">
        <v>19.8</v>
      </c>
      <c r="V90" s="5">
        <v>19500</v>
      </c>
      <c r="Y90" t="s">
        <v>35</v>
      </c>
      <c r="AA90" s="74" t="s">
        <v>218</v>
      </c>
      <c r="AB90" t="s">
        <v>443</v>
      </c>
      <c r="AC90" s="75" t="s">
        <v>513</v>
      </c>
    </row>
    <row r="91" spans="3:29" ht="16" x14ac:dyDescent="0.2">
      <c r="C91" s="22" t="s">
        <v>263</v>
      </c>
      <c r="E91" s="69">
        <v>235</v>
      </c>
      <c r="F91" s="69"/>
      <c r="H91" t="s">
        <v>46</v>
      </c>
      <c r="I91">
        <v>138.59800000000001</v>
      </c>
      <c r="K91">
        <v>272.02499999999998</v>
      </c>
      <c r="O91" t="s">
        <v>154</v>
      </c>
      <c r="P91">
        <v>14</v>
      </c>
      <c r="Q91" t="s">
        <v>46</v>
      </c>
      <c r="R91" t="s">
        <v>51</v>
      </c>
      <c r="U91">
        <v>14</v>
      </c>
      <c r="V91">
        <v>235</v>
      </c>
      <c r="W91">
        <v>4.7999999999999996E-3</v>
      </c>
      <c r="X91">
        <v>37.6</v>
      </c>
      <c r="AA91" s="84" t="s">
        <v>264</v>
      </c>
      <c r="AB91" s="75" t="s">
        <v>479</v>
      </c>
      <c r="AC91" s="75" t="s">
        <v>513</v>
      </c>
    </row>
    <row r="92" spans="3:29" ht="16" x14ac:dyDescent="0.2">
      <c r="C92" s="22" t="s">
        <v>164</v>
      </c>
      <c r="E92" s="69">
        <v>87000</v>
      </c>
      <c r="F92" s="69">
        <v>67.5</v>
      </c>
      <c r="G92">
        <v>190.25</v>
      </c>
      <c r="H92" t="s">
        <v>46</v>
      </c>
      <c r="M92">
        <v>67.5</v>
      </c>
      <c r="N92">
        <v>190.25</v>
      </c>
      <c r="O92" t="s">
        <v>161</v>
      </c>
      <c r="P92">
        <v>14</v>
      </c>
      <c r="Q92" t="s">
        <v>46</v>
      </c>
      <c r="R92" t="s">
        <v>51</v>
      </c>
      <c r="T92" t="s">
        <v>34</v>
      </c>
      <c r="U92">
        <v>23</v>
      </c>
      <c r="V92" s="5">
        <v>87000</v>
      </c>
      <c r="W92">
        <v>1.9959999999999999E-3</v>
      </c>
      <c r="X92">
        <v>39</v>
      </c>
      <c r="Y92" t="s">
        <v>35</v>
      </c>
      <c r="Z92" t="s">
        <v>165</v>
      </c>
      <c r="AA92" s="74" t="s">
        <v>166</v>
      </c>
      <c r="AB92" t="s">
        <v>480</v>
      </c>
      <c r="AC92" s="75" t="s">
        <v>513</v>
      </c>
    </row>
    <row r="93" spans="3:29" ht="16" x14ac:dyDescent="0.2">
      <c r="C93" s="22" t="s">
        <v>210</v>
      </c>
      <c r="E93" s="69">
        <v>315000</v>
      </c>
      <c r="F93" s="69"/>
      <c r="H93" t="s">
        <v>46</v>
      </c>
      <c r="I93">
        <v>64.122</v>
      </c>
      <c r="K93">
        <v>14.9099</v>
      </c>
      <c r="O93" t="s">
        <v>31</v>
      </c>
      <c r="P93">
        <v>9</v>
      </c>
      <c r="Q93" t="s">
        <v>46</v>
      </c>
      <c r="R93" t="s">
        <v>33</v>
      </c>
      <c r="T93" t="s">
        <v>211</v>
      </c>
      <c r="U93">
        <v>27.4</v>
      </c>
      <c r="V93" s="5">
        <v>315000</v>
      </c>
      <c r="X93">
        <v>37.700000000000003</v>
      </c>
      <c r="Z93" t="s">
        <v>212</v>
      </c>
      <c r="AA93" s="84" t="s">
        <v>213</v>
      </c>
      <c r="AB93" s="75" t="s">
        <v>482</v>
      </c>
      <c r="AC93" s="75" t="s">
        <v>513</v>
      </c>
    </row>
    <row r="94" spans="3:29" ht="16" x14ac:dyDescent="0.2">
      <c r="C94" s="22" t="s">
        <v>210</v>
      </c>
      <c r="E94" s="69">
        <v>315000</v>
      </c>
      <c r="F94" s="69"/>
      <c r="H94" t="s">
        <v>46</v>
      </c>
      <c r="J94">
        <v>104.312</v>
      </c>
      <c r="L94">
        <v>59.786999999999999</v>
      </c>
      <c r="O94" t="s">
        <v>31</v>
      </c>
      <c r="P94">
        <v>10</v>
      </c>
      <c r="Q94" t="s">
        <v>46</v>
      </c>
      <c r="R94" t="s">
        <v>33</v>
      </c>
      <c r="T94" t="s">
        <v>211</v>
      </c>
      <c r="U94">
        <v>27.4</v>
      </c>
      <c r="V94" s="5">
        <v>315000</v>
      </c>
      <c r="X94">
        <v>37.700000000000003</v>
      </c>
      <c r="Z94" t="s">
        <v>212</v>
      </c>
      <c r="AA94" s="84" t="s">
        <v>213</v>
      </c>
      <c r="AB94" s="75" t="s">
        <v>482</v>
      </c>
      <c r="AC94" s="75" t="s">
        <v>513</v>
      </c>
    </row>
    <row r="95" spans="3:29" ht="16" x14ac:dyDescent="0.2">
      <c r="C95" s="86" t="s">
        <v>274</v>
      </c>
      <c r="E95" s="69">
        <v>175000</v>
      </c>
      <c r="F95" s="69"/>
      <c r="H95" t="s">
        <v>276</v>
      </c>
      <c r="I95">
        <v>15.4489</v>
      </c>
      <c r="K95">
        <v>24.7638</v>
      </c>
      <c r="O95" t="s">
        <v>31</v>
      </c>
      <c r="P95">
        <v>15</v>
      </c>
      <c r="Q95" t="s">
        <v>276</v>
      </c>
      <c r="R95" t="s">
        <v>51</v>
      </c>
      <c r="T95" t="s">
        <v>34</v>
      </c>
      <c r="U95">
        <v>28</v>
      </c>
      <c r="V95" s="5">
        <v>175000</v>
      </c>
      <c r="W95">
        <v>9.6500000000000004E-4</v>
      </c>
      <c r="X95">
        <v>37.9</v>
      </c>
      <c r="AA95" s="74" t="s">
        <v>277</v>
      </c>
      <c r="AB95" t="s">
        <v>484</v>
      </c>
      <c r="AC95" s="75" t="s">
        <v>513</v>
      </c>
    </row>
    <row r="96" spans="3:29" ht="16" x14ac:dyDescent="0.2">
      <c r="C96" s="22" t="s">
        <v>184</v>
      </c>
      <c r="E96" s="69">
        <v>81150</v>
      </c>
      <c r="F96" s="69"/>
      <c r="H96" t="s">
        <v>185</v>
      </c>
      <c r="I96">
        <v>307.8</v>
      </c>
      <c r="K96">
        <v>820.9</v>
      </c>
      <c r="O96" t="s">
        <v>161</v>
      </c>
      <c r="P96">
        <v>14</v>
      </c>
      <c r="Q96" t="s">
        <v>185</v>
      </c>
      <c r="R96" t="s">
        <v>51</v>
      </c>
      <c r="T96" t="s">
        <v>34</v>
      </c>
      <c r="U96">
        <v>28</v>
      </c>
      <c r="V96" s="5">
        <v>81150</v>
      </c>
      <c r="W96">
        <v>1.238E-3</v>
      </c>
      <c r="X96">
        <v>37</v>
      </c>
      <c r="Z96" t="s">
        <v>186</v>
      </c>
      <c r="AA96" s="74" t="s">
        <v>187</v>
      </c>
      <c r="AB96" t="s">
        <v>485</v>
      </c>
      <c r="AC96" s="75" t="s">
        <v>513</v>
      </c>
    </row>
    <row r="97" spans="3:29" ht="16" x14ac:dyDescent="0.2">
      <c r="C97" s="22" t="s">
        <v>107</v>
      </c>
      <c r="E97" s="69">
        <v>119700</v>
      </c>
      <c r="F97" s="69">
        <v>101.455</v>
      </c>
      <c r="H97" t="s">
        <v>108</v>
      </c>
      <c r="M97">
        <v>101.455</v>
      </c>
      <c r="O97" t="s">
        <v>31</v>
      </c>
      <c r="P97">
        <v>9</v>
      </c>
      <c r="Q97" t="s">
        <v>108</v>
      </c>
      <c r="R97" t="s">
        <v>51</v>
      </c>
      <c r="T97" t="s">
        <v>34</v>
      </c>
      <c r="U97">
        <v>26.3</v>
      </c>
      <c r="V97" s="5">
        <v>119700</v>
      </c>
      <c r="W97">
        <v>9.7099999999999997E-4</v>
      </c>
      <c r="X97">
        <v>37.5</v>
      </c>
      <c r="Z97" t="s">
        <v>109</v>
      </c>
      <c r="AA97" s="74" t="s">
        <v>110</v>
      </c>
      <c r="AB97" t="s">
        <v>486</v>
      </c>
      <c r="AC97" s="75" t="s">
        <v>513</v>
      </c>
    </row>
    <row r="98" spans="3:29" ht="16" x14ac:dyDescent="0.2">
      <c r="C98" s="22" t="s">
        <v>111</v>
      </c>
      <c r="E98" s="69">
        <v>119700</v>
      </c>
      <c r="F98" s="69">
        <v>101.44499999999999</v>
      </c>
      <c r="H98" t="s">
        <v>108</v>
      </c>
      <c r="M98">
        <v>101.44499999999999</v>
      </c>
      <c r="O98" t="s">
        <v>31</v>
      </c>
      <c r="P98">
        <v>9</v>
      </c>
      <c r="Q98" t="s">
        <v>108</v>
      </c>
      <c r="R98" t="s">
        <v>51</v>
      </c>
      <c r="T98" t="s">
        <v>34</v>
      </c>
      <c r="U98">
        <v>26.3</v>
      </c>
      <c r="V98" s="5">
        <v>119700</v>
      </c>
      <c r="W98">
        <v>9.7099999999999997E-4</v>
      </c>
      <c r="X98">
        <v>37.5</v>
      </c>
      <c r="Z98" t="s">
        <v>109</v>
      </c>
      <c r="AA98" t="s">
        <v>110</v>
      </c>
      <c r="AB98" t="s">
        <v>486</v>
      </c>
      <c r="AC98" s="75" t="s">
        <v>513</v>
      </c>
    </row>
    <row r="99" spans="3:29" ht="16" x14ac:dyDescent="0.2">
      <c r="C99" s="22" t="s">
        <v>121</v>
      </c>
      <c r="D99">
        <v>23000</v>
      </c>
      <c r="E99" s="69">
        <v>20200</v>
      </c>
      <c r="F99" s="69">
        <v>35.9</v>
      </c>
      <c r="G99">
        <v>96.3</v>
      </c>
      <c r="H99" t="s">
        <v>46</v>
      </c>
      <c r="M99">
        <v>35.9</v>
      </c>
      <c r="N99">
        <v>96.3</v>
      </c>
      <c r="O99" t="s">
        <v>122</v>
      </c>
      <c r="P99">
        <v>9</v>
      </c>
      <c r="Q99" t="s">
        <v>46</v>
      </c>
      <c r="R99" t="s">
        <v>51</v>
      </c>
      <c r="S99">
        <v>23000</v>
      </c>
      <c r="T99" t="s">
        <v>34</v>
      </c>
      <c r="U99">
        <v>31.5</v>
      </c>
      <c r="V99" s="5">
        <v>20200</v>
      </c>
      <c r="W99">
        <v>1.6180000000000001E-3</v>
      </c>
      <c r="X99">
        <v>37.5</v>
      </c>
      <c r="Z99" t="s">
        <v>123</v>
      </c>
      <c r="AA99" s="74" t="s">
        <v>124</v>
      </c>
      <c r="AB99" t="s">
        <v>488</v>
      </c>
      <c r="AC99" s="75" t="s">
        <v>513</v>
      </c>
    </row>
    <row r="100" spans="3:29" ht="16" x14ac:dyDescent="0.2">
      <c r="C100" s="22" t="s">
        <v>132</v>
      </c>
      <c r="D100" t="s">
        <v>133</v>
      </c>
      <c r="E100" s="69">
        <v>21</v>
      </c>
      <c r="F100" s="69"/>
      <c r="H100" t="s">
        <v>46</v>
      </c>
      <c r="J100">
        <v>1436.55</v>
      </c>
      <c r="L100">
        <v>2368.4699999999998</v>
      </c>
      <c r="O100" t="s">
        <v>31</v>
      </c>
      <c r="P100">
        <v>10</v>
      </c>
      <c r="Q100" t="s">
        <v>46</v>
      </c>
      <c r="R100" t="s">
        <v>51</v>
      </c>
      <c r="S100" t="s">
        <v>133</v>
      </c>
      <c r="T100" t="s">
        <v>134</v>
      </c>
      <c r="U100">
        <v>8.3000000000000007</v>
      </c>
      <c r="V100">
        <v>21</v>
      </c>
      <c r="W100">
        <v>1.0683E-2</v>
      </c>
      <c r="X100">
        <v>36.6</v>
      </c>
      <c r="Z100" t="s">
        <v>135</v>
      </c>
      <c r="AA100" s="74" t="s">
        <v>136</v>
      </c>
      <c r="AB100" t="s">
        <v>489</v>
      </c>
      <c r="AC100" s="75" t="s">
        <v>513</v>
      </c>
    </row>
    <row r="101" spans="3:29" ht="16" x14ac:dyDescent="0.2">
      <c r="C101" s="22" t="s">
        <v>266</v>
      </c>
      <c r="E101" s="69">
        <v>101250</v>
      </c>
      <c r="F101" s="69">
        <v>60.66</v>
      </c>
      <c r="G101">
        <v>82.6</v>
      </c>
      <c r="H101" t="s">
        <v>46</v>
      </c>
      <c r="M101">
        <v>60.66</v>
      </c>
      <c r="N101">
        <v>82.6</v>
      </c>
      <c r="O101" t="s">
        <v>154</v>
      </c>
      <c r="P101">
        <v>14</v>
      </c>
      <c r="Q101" t="s">
        <v>46</v>
      </c>
      <c r="R101" t="s">
        <v>51</v>
      </c>
      <c r="U101">
        <v>21.8</v>
      </c>
      <c r="V101" s="5">
        <v>101250</v>
      </c>
      <c r="W101">
        <v>1.408E-3</v>
      </c>
      <c r="X101">
        <v>37.200000000000003</v>
      </c>
      <c r="Z101" t="s">
        <v>267</v>
      </c>
      <c r="AA101" s="84" t="s">
        <v>268</v>
      </c>
      <c r="AB101" s="75" t="s">
        <v>492</v>
      </c>
      <c r="AC101" s="75" t="s">
        <v>513</v>
      </c>
    </row>
    <row r="102" spans="3:29" ht="16" x14ac:dyDescent="0.2">
      <c r="C102" s="22" t="s">
        <v>269</v>
      </c>
      <c r="E102" s="69">
        <v>101250</v>
      </c>
      <c r="F102" s="69">
        <v>41.3</v>
      </c>
      <c r="G102">
        <v>137.80000000000001</v>
      </c>
      <c r="H102" t="s">
        <v>46</v>
      </c>
      <c r="M102">
        <v>41.3</v>
      </c>
      <c r="N102">
        <v>137.80000000000001</v>
      </c>
      <c r="O102" t="s">
        <v>154</v>
      </c>
      <c r="P102">
        <v>14</v>
      </c>
      <c r="Q102" t="s">
        <v>46</v>
      </c>
      <c r="R102" t="s">
        <v>51</v>
      </c>
      <c r="U102">
        <v>21.8</v>
      </c>
      <c r="V102" s="5">
        <v>101250</v>
      </c>
      <c r="W102">
        <v>1.408E-3</v>
      </c>
      <c r="Y102" t="s">
        <v>35</v>
      </c>
      <c r="Z102" t="s">
        <v>270</v>
      </c>
      <c r="AA102" s="8" t="s">
        <v>268</v>
      </c>
      <c r="AB102" t="s">
        <v>492</v>
      </c>
      <c r="AC102" s="75" t="s">
        <v>513</v>
      </c>
    </row>
    <row r="103" spans="3:29" ht="16" x14ac:dyDescent="0.2">
      <c r="C103" s="22" t="s">
        <v>118</v>
      </c>
      <c r="E103" s="69">
        <v>1602330</v>
      </c>
      <c r="F103" s="69"/>
      <c r="H103" t="s">
        <v>46</v>
      </c>
      <c r="I103">
        <v>9.66</v>
      </c>
      <c r="K103">
        <v>35.28</v>
      </c>
      <c r="O103" t="s">
        <v>31</v>
      </c>
      <c r="P103">
        <v>9</v>
      </c>
      <c r="Q103" t="s">
        <v>46</v>
      </c>
      <c r="R103" t="s">
        <v>51</v>
      </c>
      <c r="T103" t="s">
        <v>34</v>
      </c>
      <c r="U103">
        <v>43.5</v>
      </c>
      <c r="V103" s="5">
        <v>1602330</v>
      </c>
      <c r="X103">
        <v>37.4</v>
      </c>
      <c r="Z103" t="s">
        <v>119</v>
      </c>
      <c r="AA103" s="74" t="s">
        <v>120</v>
      </c>
      <c r="AB103" t="s">
        <v>493</v>
      </c>
      <c r="AC103" s="75" t="s">
        <v>513</v>
      </c>
    </row>
    <row r="104" spans="3:29" ht="16" x14ac:dyDescent="0.2">
      <c r="C104" s="22" t="s">
        <v>149</v>
      </c>
      <c r="D104">
        <v>630</v>
      </c>
      <c r="E104" s="69">
        <v>412.5</v>
      </c>
      <c r="F104" s="69"/>
      <c r="H104" t="s">
        <v>150</v>
      </c>
      <c r="I104">
        <v>263.02999999999997</v>
      </c>
      <c r="K104">
        <v>416.87</v>
      </c>
      <c r="O104" t="s">
        <v>31</v>
      </c>
      <c r="P104">
        <v>11</v>
      </c>
      <c r="Q104" t="s">
        <v>150</v>
      </c>
      <c r="R104" t="s">
        <v>51</v>
      </c>
      <c r="S104">
        <v>630</v>
      </c>
      <c r="T104" t="s">
        <v>34</v>
      </c>
      <c r="V104">
        <v>412.5</v>
      </c>
      <c r="Y104" t="s">
        <v>35</v>
      </c>
      <c r="Z104" t="s">
        <v>151</v>
      </c>
      <c r="AA104" s="74" t="s">
        <v>152</v>
      </c>
      <c r="AB104" t="s">
        <v>495</v>
      </c>
      <c r="AC104" s="75" t="s">
        <v>513</v>
      </c>
    </row>
    <row r="105" spans="3:29" ht="16" x14ac:dyDescent="0.2">
      <c r="C105" s="22" t="s">
        <v>227</v>
      </c>
      <c r="E105" s="69">
        <v>776</v>
      </c>
      <c r="F105" s="69"/>
      <c r="H105" t="s">
        <v>46</v>
      </c>
      <c r="I105">
        <v>110.2</v>
      </c>
      <c r="K105">
        <v>614.1</v>
      </c>
      <c r="O105" t="s">
        <v>31</v>
      </c>
      <c r="P105">
        <v>9</v>
      </c>
      <c r="Q105" t="s">
        <v>46</v>
      </c>
      <c r="R105" t="s">
        <v>51</v>
      </c>
      <c r="T105" t="s">
        <v>34</v>
      </c>
      <c r="U105">
        <v>20.6</v>
      </c>
      <c r="V105" s="5">
        <v>776</v>
      </c>
      <c r="W105">
        <v>2.0339999999999998E-3</v>
      </c>
      <c r="X105">
        <v>36.299999999999997</v>
      </c>
      <c r="AA105" s="74" t="s">
        <v>218</v>
      </c>
      <c r="AB105" t="s">
        <v>443</v>
      </c>
      <c r="AC105" s="75" t="s">
        <v>513</v>
      </c>
    </row>
    <row r="106" spans="3:29" ht="16" x14ac:dyDescent="0.2">
      <c r="C106" s="22" t="s">
        <v>227</v>
      </c>
      <c r="E106" s="69">
        <v>776</v>
      </c>
      <c r="F106" s="69"/>
      <c r="H106" t="s">
        <v>46</v>
      </c>
      <c r="J106">
        <v>175</v>
      </c>
      <c r="L106">
        <v>2672.8</v>
      </c>
      <c r="O106" t="s">
        <v>154</v>
      </c>
      <c r="P106">
        <v>14</v>
      </c>
      <c r="Q106" t="s">
        <v>46</v>
      </c>
      <c r="R106" t="s">
        <v>51</v>
      </c>
      <c r="T106" t="s">
        <v>34</v>
      </c>
      <c r="U106">
        <v>20.6</v>
      </c>
      <c r="V106" s="5">
        <v>776</v>
      </c>
      <c r="W106">
        <v>2.0339999999999998E-3</v>
      </c>
      <c r="X106">
        <v>36.299999999999997</v>
      </c>
      <c r="AA106" s="74" t="s">
        <v>218</v>
      </c>
      <c r="AB106" t="s">
        <v>443</v>
      </c>
      <c r="AC106" s="75" t="s">
        <v>513</v>
      </c>
    </row>
    <row r="107" spans="3:29" ht="16" x14ac:dyDescent="0.2">
      <c r="C107" s="22" t="s">
        <v>180</v>
      </c>
      <c r="D107">
        <v>353500</v>
      </c>
      <c r="E107" s="69">
        <v>700000</v>
      </c>
      <c r="F107" s="69">
        <v>40.19</v>
      </c>
      <c r="G107">
        <v>250.29400000000001</v>
      </c>
      <c r="H107" t="s">
        <v>46</v>
      </c>
      <c r="M107">
        <v>40.19</v>
      </c>
      <c r="N107">
        <v>250.29400000000001</v>
      </c>
      <c r="O107" t="s">
        <v>154</v>
      </c>
      <c r="P107">
        <v>14</v>
      </c>
      <c r="Q107" t="s">
        <v>46</v>
      </c>
      <c r="R107" t="s">
        <v>51</v>
      </c>
      <c r="S107">
        <v>353500</v>
      </c>
      <c r="T107" t="s">
        <v>181</v>
      </c>
      <c r="U107">
        <v>32.799999999999997</v>
      </c>
      <c r="V107" s="5">
        <v>700000</v>
      </c>
      <c r="Z107" t="s">
        <v>182</v>
      </c>
      <c r="AA107" s="84" t="s">
        <v>183</v>
      </c>
      <c r="AB107" s="75" t="s">
        <v>496</v>
      </c>
      <c r="AC107" s="75" t="s">
        <v>513</v>
      </c>
    </row>
    <row r="108" spans="3:29" ht="19" customHeight="1" x14ac:dyDescent="0.2">
      <c r="C108" s="81" t="s">
        <v>112</v>
      </c>
      <c r="E108" s="69">
        <v>1500</v>
      </c>
      <c r="F108">
        <v>642.1</v>
      </c>
      <c r="G108">
        <v>1379.3</v>
      </c>
      <c r="H108" t="s">
        <v>46</v>
      </c>
      <c r="M108">
        <v>642.1</v>
      </c>
      <c r="N108">
        <v>1379.3</v>
      </c>
      <c r="O108" t="s">
        <v>31</v>
      </c>
      <c r="P108">
        <v>9</v>
      </c>
      <c r="Q108" t="s">
        <v>46</v>
      </c>
      <c r="R108" t="s">
        <v>51</v>
      </c>
      <c r="T108" t="s">
        <v>34</v>
      </c>
      <c r="U108">
        <v>36.799999999999997</v>
      </c>
      <c r="V108" s="5">
        <v>1500</v>
      </c>
      <c r="W108">
        <v>1.01E-3</v>
      </c>
      <c r="X108">
        <v>33</v>
      </c>
      <c r="Z108" t="s">
        <v>113</v>
      </c>
      <c r="AA108" s="74" t="s">
        <v>114</v>
      </c>
      <c r="AB108" t="s">
        <v>498</v>
      </c>
      <c r="AC108" s="75" t="s">
        <v>513</v>
      </c>
    </row>
    <row r="109" spans="3:29" ht="17" customHeight="1" x14ac:dyDescent="0.2">
      <c r="C109" s="22" t="s">
        <v>271</v>
      </c>
      <c r="E109" s="69">
        <v>277500</v>
      </c>
      <c r="F109" s="69"/>
      <c r="H109" t="s">
        <v>46</v>
      </c>
      <c r="I109">
        <v>19.042999999999999</v>
      </c>
      <c r="K109">
        <v>112.455</v>
      </c>
      <c r="O109" t="s">
        <v>154</v>
      </c>
      <c r="P109">
        <v>14</v>
      </c>
      <c r="Q109" t="s">
        <v>46</v>
      </c>
      <c r="R109" t="s">
        <v>51</v>
      </c>
      <c r="U109">
        <v>40</v>
      </c>
      <c r="V109" s="5">
        <v>277500</v>
      </c>
      <c r="X109">
        <v>37.299999999999997</v>
      </c>
      <c r="Z109" t="s">
        <v>272</v>
      </c>
      <c r="AA109" s="84" t="s">
        <v>273</v>
      </c>
      <c r="AB109" s="75" t="s">
        <v>501</v>
      </c>
      <c r="AC109" s="75" t="s">
        <v>513</v>
      </c>
    </row>
    <row r="110" spans="3:29" ht="15.75" customHeight="1" x14ac:dyDescent="0.2">
      <c r="C110" s="22" t="s">
        <v>426</v>
      </c>
      <c r="E110" s="69">
        <v>475000</v>
      </c>
      <c r="F110" s="69">
        <v>64.635000000000005</v>
      </c>
      <c r="H110" t="s">
        <v>157</v>
      </c>
      <c r="M110">
        <v>64.635000000000005</v>
      </c>
      <c r="O110" t="s">
        <v>31</v>
      </c>
      <c r="P110" t="s">
        <v>541</v>
      </c>
      <c r="Q110" t="s">
        <v>157</v>
      </c>
      <c r="R110" t="s">
        <v>51</v>
      </c>
      <c r="T110" t="s">
        <v>382</v>
      </c>
      <c r="U110">
        <v>43.8</v>
      </c>
      <c r="V110" s="5">
        <v>475000</v>
      </c>
      <c r="X110">
        <v>36.799999999999997</v>
      </c>
      <c r="Z110" t="s">
        <v>429</v>
      </c>
      <c r="AA110" s="74" t="s">
        <v>428</v>
      </c>
      <c r="AB110" t="s">
        <v>502</v>
      </c>
      <c r="AC110" s="75" t="s">
        <v>513</v>
      </c>
    </row>
    <row r="111" spans="3:29" ht="16" customHeight="1" x14ac:dyDescent="0.2">
      <c r="C111" s="22" t="s">
        <v>223</v>
      </c>
      <c r="E111" s="69">
        <v>103750</v>
      </c>
      <c r="F111" s="69"/>
      <c r="H111" t="s">
        <v>217</v>
      </c>
      <c r="I111">
        <v>80.7</v>
      </c>
      <c r="K111">
        <v>369.6</v>
      </c>
      <c r="O111" t="s">
        <v>31</v>
      </c>
      <c r="P111">
        <v>9</v>
      </c>
      <c r="Q111" t="s">
        <v>217</v>
      </c>
      <c r="R111" t="s">
        <v>51</v>
      </c>
      <c r="T111" t="s">
        <v>34</v>
      </c>
      <c r="U111">
        <v>39.200000000000003</v>
      </c>
      <c r="V111" s="5">
        <v>103750</v>
      </c>
      <c r="X111">
        <v>37.5</v>
      </c>
      <c r="Y111" t="s">
        <v>35</v>
      </c>
      <c r="Z111" t="s">
        <v>224</v>
      </c>
      <c r="AA111" s="74" t="s">
        <v>218</v>
      </c>
      <c r="AB111" t="s">
        <v>443</v>
      </c>
      <c r="AC111" s="75" t="s">
        <v>513</v>
      </c>
    </row>
    <row r="112" spans="3:29" ht="16" customHeight="1" x14ac:dyDescent="0.2">
      <c r="C112" s="22" t="s">
        <v>223</v>
      </c>
      <c r="E112" s="69">
        <v>103750</v>
      </c>
      <c r="F112" s="69"/>
      <c r="H112" t="s">
        <v>217</v>
      </c>
      <c r="J112">
        <v>45.1</v>
      </c>
      <c r="L112">
        <v>212.8</v>
      </c>
      <c r="O112" t="s">
        <v>154</v>
      </c>
      <c r="P112">
        <v>14</v>
      </c>
      <c r="Q112" t="s">
        <v>217</v>
      </c>
      <c r="R112" t="s">
        <v>51</v>
      </c>
      <c r="T112" t="s">
        <v>34</v>
      </c>
      <c r="U112">
        <v>39.200000000000003</v>
      </c>
      <c r="V112" s="5">
        <v>103750</v>
      </c>
      <c r="X112">
        <v>37.5</v>
      </c>
      <c r="Y112" t="s">
        <v>35</v>
      </c>
      <c r="Z112" t="s">
        <v>224</v>
      </c>
      <c r="AA112" s="74" t="s">
        <v>218</v>
      </c>
      <c r="AB112" t="s">
        <v>443</v>
      </c>
      <c r="AC112" s="75" t="s">
        <v>513</v>
      </c>
    </row>
    <row r="113" spans="2:31" ht="15.75" customHeight="1" x14ac:dyDescent="0.2">
      <c r="C113" s="22" t="s">
        <v>144</v>
      </c>
      <c r="D113">
        <v>7456.25</v>
      </c>
      <c r="E113" s="69">
        <v>5200</v>
      </c>
      <c r="F113" s="69">
        <v>695</v>
      </c>
      <c r="G113">
        <v>2414</v>
      </c>
      <c r="H113" t="s">
        <v>46</v>
      </c>
      <c r="M113">
        <v>695</v>
      </c>
      <c r="N113">
        <v>2414</v>
      </c>
      <c r="O113" t="s">
        <v>31</v>
      </c>
      <c r="P113">
        <v>11</v>
      </c>
      <c r="Q113" t="s">
        <v>46</v>
      </c>
      <c r="R113" t="s">
        <v>51</v>
      </c>
      <c r="S113">
        <v>7456.25</v>
      </c>
      <c r="T113" t="s">
        <v>84</v>
      </c>
      <c r="U113">
        <v>16.3</v>
      </c>
      <c r="V113" s="5">
        <v>5200</v>
      </c>
      <c r="W113">
        <v>2.1289999999999998E-3</v>
      </c>
      <c r="X113">
        <v>38.6</v>
      </c>
      <c r="AA113" s="74" t="s">
        <v>145</v>
      </c>
      <c r="AB113" t="s">
        <v>503</v>
      </c>
      <c r="AC113" s="75" t="s">
        <v>513</v>
      </c>
    </row>
    <row r="114" spans="2:31" ht="15.75" customHeight="1" x14ac:dyDescent="0.2">
      <c r="C114" s="22" t="s">
        <v>147</v>
      </c>
      <c r="D114">
        <v>7233.33</v>
      </c>
      <c r="E114" s="69">
        <v>4132</v>
      </c>
      <c r="F114" s="69">
        <v>475</v>
      </c>
      <c r="G114">
        <v>2143</v>
      </c>
      <c r="H114" t="s">
        <v>46</v>
      </c>
      <c r="M114">
        <v>475</v>
      </c>
      <c r="N114">
        <v>2143</v>
      </c>
      <c r="O114" t="s">
        <v>31</v>
      </c>
      <c r="P114">
        <v>11</v>
      </c>
      <c r="Q114" t="s">
        <v>46</v>
      </c>
      <c r="R114" t="s">
        <v>51</v>
      </c>
      <c r="S114">
        <v>7233.33</v>
      </c>
      <c r="T114" t="s">
        <v>84</v>
      </c>
      <c r="U114">
        <v>21.3</v>
      </c>
      <c r="V114" s="5">
        <v>4132</v>
      </c>
      <c r="W114">
        <v>2.9979999999999998E-3</v>
      </c>
      <c r="X114">
        <v>38.700000000000003</v>
      </c>
      <c r="AA114" s="74" t="s">
        <v>148</v>
      </c>
      <c r="AB114" t="s">
        <v>504</v>
      </c>
      <c r="AC114" s="75" t="s">
        <v>513</v>
      </c>
    </row>
    <row r="117" spans="2:31" ht="15.75" customHeight="1" x14ac:dyDescent="0.2">
      <c r="C117" s="22" t="s">
        <v>506</v>
      </c>
    </row>
    <row r="118" spans="2:31" ht="15.75" customHeight="1" x14ac:dyDescent="0.2">
      <c r="C118" s="22" t="s">
        <v>510</v>
      </c>
    </row>
    <row r="120" spans="2:31" ht="16" x14ac:dyDescent="0.2">
      <c r="B120" t="s">
        <v>505</v>
      </c>
      <c r="C120" s="22" t="s">
        <v>29</v>
      </c>
      <c r="D120">
        <v>8025</v>
      </c>
      <c r="E120" s="69">
        <v>7000</v>
      </c>
      <c r="F120" s="69" t="s">
        <v>30</v>
      </c>
      <c r="G120">
        <v>1650</v>
      </c>
      <c r="H120" t="s">
        <v>32</v>
      </c>
      <c r="M120" t="s">
        <v>30</v>
      </c>
      <c r="N120">
        <v>1650</v>
      </c>
      <c r="O120" t="s">
        <v>31</v>
      </c>
      <c r="P120">
        <v>1</v>
      </c>
      <c r="Q120" t="s">
        <v>32</v>
      </c>
      <c r="R120" t="s">
        <v>33</v>
      </c>
      <c r="S120">
        <v>8025</v>
      </c>
      <c r="T120" t="s">
        <v>34</v>
      </c>
      <c r="V120" s="5">
        <v>7000</v>
      </c>
      <c r="Y120" t="s">
        <v>35</v>
      </c>
      <c r="Z120" t="s">
        <v>36</v>
      </c>
      <c r="AA120" s="74" t="s">
        <v>37</v>
      </c>
      <c r="AB120" s="79" t="s">
        <v>446</v>
      </c>
      <c r="AC120" s="75" t="s">
        <v>513</v>
      </c>
    </row>
    <row r="121" spans="2:31" ht="16" x14ac:dyDescent="0.2">
      <c r="B121" t="s">
        <v>505</v>
      </c>
      <c r="C121" s="22" t="s">
        <v>100</v>
      </c>
      <c r="E121" s="69">
        <v>2643</v>
      </c>
      <c r="F121" s="69"/>
      <c r="H121" t="s">
        <v>46</v>
      </c>
      <c r="J121">
        <v>1240</v>
      </c>
      <c r="L121">
        <v>64845</v>
      </c>
      <c r="O121" t="s">
        <v>31</v>
      </c>
      <c r="P121">
        <v>8</v>
      </c>
      <c r="Q121" t="s">
        <v>46</v>
      </c>
      <c r="R121" t="s">
        <v>51</v>
      </c>
      <c r="T121" t="s">
        <v>34</v>
      </c>
      <c r="U121">
        <v>46</v>
      </c>
      <c r="V121" s="5">
        <v>2643</v>
      </c>
      <c r="W121">
        <v>2.6199999999999999E-3</v>
      </c>
      <c r="Y121" t="s">
        <v>431</v>
      </c>
      <c r="AA121" t="s">
        <v>65</v>
      </c>
      <c r="AB121" t="s">
        <v>452</v>
      </c>
      <c r="AC121" s="75" t="s">
        <v>513</v>
      </c>
      <c r="AD121" t="s">
        <v>432</v>
      </c>
      <c r="AE121" t="s">
        <v>520</v>
      </c>
    </row>
    <row r="122" spans="2:31" ht="16" x14ac:dyDescent="0.2">
      <c r="B122" t="s">
        <v>505</v>
      </c>
      <c r="C122" s="22" t="s">
        <v>64</v>
      </c>
      <c r="E122" s="69">
        <v>2643</v>
      </c>
      <c r="F122" s="69"/>
      <c r="H122" t="s">
        <v>46</v>
      </c>
      <c r="I122">
        <v>7860</v>
      </c>
      <c r="K122">
        <v>121250</v>
      </c>
      <c r="O122" t="s">
        <v>31</v>
      </c>
      <c r="P122">
        <v>2</v>
      </c>
      <c r="Q122" t="s">
        <v>46</v>
      </c>
      <c r="R122" t="s">
        <v>51</v>
      </c>
      <c r="T122" t="s">
        <v>34</v>
      </c>
      <c r="U122">
        <v>46</v>
      </c>
      <c r="V122" s="5">
        <v>2643</v>
      </c>
      <c r="W122">
        <v>2.6199999999999999E-3</v>
      </c>
      <c r="Y122" t="s">
        <v>431</v>
      </c>
      <c r="AA122" t="s">
        <v>65</v>
      </c>
      <c r="AB122" t="s">
        <v>452</v>
      </c>
      <c r="AC122" s="75" t="s">
        <v>513</v>
      </c>
      <c r="AD122" t="s">
        <v>432</v>
      </c>
      <c r="AE122" t="s">
        <v>520</v>
      </c>
    </row>
    <row r="123" spans="2:31" ht="16" x14ac:dyDescent="0.2">
      <c r="B123" t="s">
        <v>505</v>
      </c>
      <c r="C123" s="22" t="s">
        <v>194</v>
      </c>
      <c r="D123">
        <v>3036.36</v>
      </c>
      <c r="E123" s="69">
        <v>2800</v>
      </c>
      <c r="F123" s="69"/>
      <c r="H123" t="s">
        <v>46</v>
      </c>
      <c r="I123">
        <v>4375</v>
      </c>
      <c r="K123">
        <v>43600</v>
      </c>
      <c r="O123" t="s">
        <v>31</v>
      </c>
      <c r="P123" t="s">
        <v>195</v>
      </c>
      <c r="Q123" t="s">
        <v>46</v>
      </c>
      <c r="R123" t="s">
        <v>33</v>
      </c>
      <c r="S123">
        <v>3036.36</v>
      </c>
      <c r="T123" t="s">
        <v>34</v>
      </c>
      <c r="V123">
        <v>2800</v>
      </c>
      <c r="Z123" t="s">
        <v>196</v>
      </c>
      <c r="AA123" s="74" t="s">
        <v>197</v>
      </c>
      <c r="AB123" t="s">
        <v>494</v>
      </c>
      <c r="AC123" s="75" t="s">
        <v>513</v>
      </c>
    </row>
    <row r="156" ht="16" x14ac:dyDescent="0.2"/>
    <row r="157" ht="16" x14ac:dyDescent="0.2"/>
    <row r="158" ht="16" x14ac:dyDescent="0.2"/>
    <row r="159" ht="16" x14ac:dyDescent="0.2"/>
    <row r="160" ht="16" x14ac:dyDescent="0.2"/>
    <row r="161" ht="16" x14ac:dyDescent="0.2"/>
    <row r="162" ht="16" x14ac:dyDescent="0.2"/>
    <row r="163" ht="16" x14ac:dyDescent="0.2"/>
    <row r="164" ht="16" x14ac:dyDescent="0.2"/>
    <row r="165" ht="16" x14ac:dyDescent="0.2"/>
    <row r="166" ht="16" x14ac:dyDescent="0.2"/>
    <row r="167" ht="16" x14ac:dyDescent="0.2"/>
    <row r="168" ht="16" x14ac:dyDescent="0.2"/>
    <row r="169" ht="16" x14ac:dyDescent="0.2"/>
    <row r="170" ht="16" x14ac:dyDescent="0.2"/>
    <row r="171" ht="16" x14ac:dyDescent="0.2"/>
    <row r="172" ht="16" x14ac:dyDescent="0.2"/>
    <row r="173" ht="16" x14ac:dyDescent="0.2"/>
    <row r="174" ht="16" x14ac:dyDescent="0.2"/>
    <row r="175" ht="16" x14ac:dyDescent="0.2"/>
    <row r="176" ht="16" x14ac:dyDescent="0.2"/>
    <row r="177" ht="16" x14ac:dyDescent="0.2"/>
    <row r="178" ht="16" x14ac:dyDescent="0.2"/>
    <row r="179" ht="16" x14ac:dyDescent="0.2"/>
    <row r="180" ht="16" x14ac:dyDescent="0.2"/>
    <row r="181" ht="16" x14ac:dyDescent="0.2"/>
    <row r="182" ht="16" x14ac:dyDescent="0.2"/>
    <row r="183" ht="16" x14ac:dyDescent="0.2"/>
    <row r="184" ht="16" x14ac:dyDescent="0.2"/>
    <row r="185" ht="16" x14ac:dyDescent="0.2"/>
    <row r="186" ht="16" x14ac:dyDescent="0.2"/>
    <row r="187" ht="16" x14ac:dyDescent="0.2"/>
    <row r="188" ht="16" x14ac:dyDescent="0.2"/>
    <row r="189" ht="16" x14ac:dyDescent="0.2"/>
    <row r="190" ht="16" x14ac:dyDescent="0.2"/>
    <row r="191" ht="16" x14ac:dyDescent="0.2"/>
    <row r="192" ht="16" x14ac:dyDescent="0.2"/>
    <row r="193" ht="16" x14ac:dyDescent="0.2"/>
    <row r="194" ht="16" x14ac:dyDescent="0.2"/>
    <row r="195" ht="16" x14ac:dyDescent="0.2"/>
    <row r="196" ht="16" x14ac:dyDescent="0.2"/>
    <row r="197" ht="16" x14ac:dyDescent="0.2"/>
    <row r="198" ht="16" x14ac:dyDescent="0.2"/>
    <row r="199" ht="16" x14ac:dyDescent="0.2"/>
    <row r="200" ht="16" x14ac:dyDescent="0.2"/>
    <row r="201" ht="16" x14ac:dyDescent="0.2"/>
    <row r="202" ht="16" x14ac:dyDescent="0.2"/>
    <row r="203" ht="16" x14ac:dyDescent="0.2"/>
    <row r="204" ht="16" x14ac:dyDescent="0.2"/>
    <row r="205" ht="16" x14ac:dyDescent="0.2"/>
    <row r="206" ht="16" x14ac:dyDescent="0.2"/>
    <row r="207" ht="16" x14ac:dyDescent="0.2"/>
    <row r="208" ht="16" x14ac:dyDescent="0.2"/>
    <row r="209" ht="16" x14ac:dyDescent="0.2"/>
    <row r="210" ht="16" x14ac:dyDescent="0.2"/>
    <row r="211" ht="16" x14ac:dyDescent="0.2"/>
    <row r="212" ht="16" x14ac:dyDescent="0.2"/>
    <row r="213" ht="16" x14ac:dyDescent="0.2"/>
    <row r="214" ht="16" x14ac:dyDescent="0.2"/>
    <row r="215" ht="16" x14ac:dyDescent="0.2"/>
    <row r="216" ht="16" x14ac:dyDescent="0.2"/>
    <row r="217" ht="16" x14ac:dyDescent="0.2"/>
    <row r="218" ht="16" x14ac:dyDescent="0.2"/>
    <row r="219" ht="16" x14ac:dyDescent="0.2"/>
    <row r="220" ht="16" x14ac:dyDescent="0.2"/>
    <row r="221" ht="16" x14ac:dyDescent="0.2"/>
    <row r="222" ht="16" x14ac:dyDescent="0.2"/>
    <row r="223" ht="16" x14ac:dyDescent="0.2"/>
    <row r="224" ht="16" x14ac:dyDescent="0.2"/>
    <row r="225" ht="16" x14ac:dyDescent="0.2"/>
    <row r="226" ht="16" x14ac:dyDescent="0.2"/>
    <row r="227" ht="16" x14ac:dyDescent="0.2"/>
    <row r="228" ht="16" x14ac:dyDescent="0.2"/>
    <row r="229" ht="16" x14ac:dyDescent="0.2"/>
    <row r="230" ht="16" x14ac:dyDescent="0.2"/>
    <row r="231" ht="16" x14ac:dyDescent="0.2"/>
    <row r="232" ht="16" x14ac:dyDescent="0.2"/>
    <row r="233" ht="16" x14ac:dyDescent="0.2"/>
    <row r="234" ht="16" x14ac:dyDescent="0.2"/>
    <row r="235" ht="16" x14ac:dyDescent="0.2"/>
    <row r="236" ht="16" x14ac:dyDescent="0.2"/>
    <row r="237" ht="16" x14ac:dyDescent="0.2"/>
    <row r="238" ht="16" x14ac:dyDescent="0.2"/>
    <row r="239" ht="16" x14ac:dyDescent="0.2"/>
    <row r="240" ht="16" x14ac:dyDescent="0.2"/>
    <row r="241" ht="16" x14ac:dyDescent="0.2"/>
    <row r="242" ht="16" x14ac:dyDescent="0.2"/>
    <row r="243" ht="16" x14ac:dyDescent="0.2"/>
    <row r="244" ht="16" x14ac:dyDescent="0.2"/>
    <row r="245" ht="16" x14ac:dyDescent="0.2"/>
    <row r="246" ht="16" x14ac:dyDescent="0.2"/>
    <row r="247" ht="16" x14ac:dyDescent="0.2"/>
    <row r="248" ht="16" x14ac:dyDescent="0.2"/>
    <row r="249" ht="16" x14ac:dyDescent="0.2"/>
    <row r="250" ht="16" x14ac:dyDescent="0.2"/>
    <row r="251" ht="16" x14ac:dyDescent="0.2"/>
    <row r="252" ht="16" x14ac:dyDescent="0.2"/>
    <row r="253" ht="16" x14ac:dyDescent="0.2"/>
    <row r="254" ht="16" x14ac:dyDescent="0.2"/>
    <row r="255" ht="16" x14ac:dyDescent="0.2"/>
    <row r="256" ht="16" x14ac:dyDescent="0.2"/>
    <row r="257" ht="16" x14ac:dyDescent="0.2"/>
    <row r="258" ht="16" x14ac:dyDescent="0.2"/>
    <row r="259" ht="16" x14ac:dyDescent="0.2"/>
    <row r="260" ht="16" x14ac:dyDescent="0.2"/>
    <row r="261" ht="16" x14ac:dyDescent="0.2"/>
    <row r="262" ht="16" x14ac:dyDescent="0.2"/>
    <row r="263" ht="16" x14ac:dyDescent="0.2"/>
    <row r="264" ht="16" x14ac:dyDescent="0.2"/>
    <row r="265" ht="16" x14ac:dyDescent="0.2"/>
    <row r="266" ht="16" x14ac:dyDescent="0.2"/>
    <row r="267" ht="16" x14ac:dyDescent="0.2"/>
    <row r="268" ht="16" x14ac:dyDescent="0.2"/>
    <row r="269" ht="16" x14ac:dyDescent="0.2"/>
    <row r="270" ht="16" x14ac:dyDescent="0.2"/>
    <row r="271" ht="16" x14ac:dyDescent="0.2"/>
    <row r="272" ht="16" x14ac:dyDescent="0.2"/>
    <row r="273" ht="16" x14ac:dyDescent="0.2"/>
    <row r="274" ht="16" x14ac:dyDescent="0.2"/>
    <row r="275" ht="16" x14ac:dyDescent="0.2"/>
    <row r="276" ht="16" x14ac:dyDescent="0.2"/>
    <row r="277" ht="16" x14ac:dyDescent="0.2"/>
    <row r="278" ht="16" x14ac:dyDescent="0.2"/>
    <row r="279" ht="16" x14ac:dyDescent="0.2"/>
    <row r="280" ht="16" x14ac:dyDescent="0.2"/>
    <row r="281" ht="16" x14ac:dyDescent="0.2"/>
    <row r="282" ht="16" x14ac:dyDescent="0.2"/>
    <row r="283" ht="16" x14ac:dyDescent="0.2"/>
    <row r="284" ht="16" x14ac:dyDescent="0.2"/>
    <row r="285" ht="16" x14ac:dyDescent="0.2"/>
    <row r="286" ht="16" x14ac:dyDescent="0.2"/>
    <row r="287" ht="16" x14ac:dyDescent="0.2"/>
    <row r="288" ht="16" x14ac:dyDescent="0.2"/>
    <row r="289" ht="16" x14ac:dyDescent="0.2"/>
    <row r="290" ht="16" x14ac:dyDescent="0.2"/>
    <row r="291" ht="16" x14ac:dyDescent="0.2"/>
    <row r="292" ht="16" x14ac:dyDescent="0.2"/>
    <row r="293" ht="16" x14ac:dyDescent="0.2"/>
    <row r="294" ht="16" x14ac:dyDescent="0.2"/>
    <row r="295" ht="16" x14ac:dyDescent="0.2"/>
    <row r="296" ht="16" x14ac:dyDescent="0.2"/>
    <row r="297" ht="16" x14ac:dyDescent="0.2"/>
    <row r="298" ht="16" x14ac:dyDescent="0.2"/>
    <row r="299" ht="16" x14ac:dyDescent="0.2"/>
    <row r="300" ht="16" x14ac:dyDescent="0.2"/>
    <row r="301" ht="16" x14ac:dyDescent="0.2"/>
    <row r="302" ht="16" x14ac:dyDescent="0.2"/>
    <row r="303" ht="16" x14ac:dyDescent="0.2"/>
    <row r="304" ht="16" x14ac:dyDescent="0.2"/>
    <row r="305" ht="16" x14ac:dyDescent="0.2"/>
    <row r="306" ht="16" x14ac:dyDescent="0.2"/>
    <row r="307" ht="16" x14ac:dyDescent="0.2"/>
    <row r="308" ht="16" x14ac:dyDescent="0.2"/>
    <row r="309" ht="16" x14ac:dyDescent="0.2"/>
    <row r="310" ht="16" x14ac:dyDescent="0.2"/>
    <row r="311" ht="16" x14ac:dyDescent="0.2"/>
    <row r="312" ht="16" x14ac:dyDescent="0.2"/>
    <row r="313" ht="16" x14ac:dyDescent="0.2"/>
    <row r="314" ht="16" x14ac:dyDescent="0.2"/>
    <row r="315" ht="16" x14ac:dyDescent="0.2"/>
    <row r="316" ht="16" x14ac:dyDescent="0.2"/>
    <row r="317" ht="16" x14ac:dyDescent="0.2"/>
    <row r="318" ht="16" x14ac:dyDescent="0.2"/>
    <row r="319" ht="16" x14ac:dyDescent="0.2"/>
    <row r="320" ht="16" x14ac:dyDescent="0.2"/>
    <row r="321" ht="16" x14ac:dyDescent="0.2"/>
    <row r="322" ht="16" x14ac:dyDescent="0.2"/>
    <row r="323" ht="16" x14ac:dyDescent="0.2"/>
    <row r="324" ht="16" x14ac:dyDescent="0.2"/>
    <row r="325" ht="16" x14ac:dyDescent="0.2"/>
    <row r="326" ht="16" x14ac:dyDescent="0.2"/>
    <row r="327" ht="16" x14ac:dyDescent="0.2"/>
    <row r="328" ht="16" x14ac:dyDescent="0.2"/>
    <row r="329" ht="16" x14ac:dyDescent="0.2"/>
    <row r="330" ht="16" x14ac:dyDescent="0.2"/>
    <row r="331" ht="16" x14ac:dyDescent="0.2"/>
    <row r="332" ht="16" x14ac:dyDescent="0.2"/>
    <row r="333" ht="16" x14ac:dyDescent="0.2"/>
    <row r="334" ht="16" x14ac:dyDescent="0.2"/>
    <row r="335" ht="16" x14ac:dyDescent="0.2"/>
    <row r="336" ht="16" x14ac:dyDescent="0.2"/>
    <row r="337" ht="16" x14ac:dyDescent="0.2"/>
    <row r="338" ht="16" x14ac:dyDescent="0.2"/>
    <row r="339" ht="16" x14ac:dyDescent="0.2"/>
    <row r="340" ht="16" x14ac:dyDescent="0.2"/>
    <row r="341" ht="16" x14ac:dyDescent="0.2"/>
    <row r="342" ht="16" x14ac:dyDescent="0.2"/>
    <row r="343" ht="16" x14ac:dyDescent="0.2"/>
    <row r="344" ht="16" x14ac:dyDescent="0.2"/>
    <row r="345" ht="16" x14ac:dyDescent="0.2"/>
    <row r="346" ht="16" x14ac:dyDescent="0.2"/>
    <row r="347" ht="16" x14ac:dyDescent="0.2"/>
    <row r="348" ht="16" x14ac:dyDescent="0.2"/>
    <row r="349" ht="16" x14ac:dyDescent="0.2"/>
    <row r="350" ht="16" x14ac:dyDescent="0.2"/>
    <row r="351" ht="16" x14ac:dyDescent="0.2"/>
    <row r="352" ht="16" x14ac:dyDescent="0.2"/>
    <row r="353" ht="16" x14ac:dyDescent="0.2"/>
    <row r="354" ht="16" x14ac:dyDescent="0.2"/>
    <row r="355" ht="16" x14ac:dyDescent="0.2"/>
    <row r="356" ht="16" x14ac:dyDescent="0.2"/>
    <row r="357" ht="16" x14ac:dyDescent="0.2"/>
    <row r="358" ht="16" x14ac:dyDescent="0.2"/>
    <row r="359" ht="16" x14ac:dyDescent="0.2"/>
    <row r="360" ht="16" x14ac:dyDescent="0.2"/>
    <row r="361" ht="16" x14ac:dyDescent="0.2"/>
    <row r="362" ht="16" x14ac:dyDescent="0.2"/>
    <row r="363" ht="16" x14ac:dyDescent="0.2"/>
    <row r="364" ht="16" x14ac:dyDescent="0.2"/>
    <row r="365" ht="16" x14ac:dyDescent="0.2"/>
    <row r="366" ht="16" x14ac:dyDescent="0.2"/>
    <row r="367" ht="16" x14ac:dyDescent="0.2"/>
    <row r="368" ht="16" x14ac:dyDescent="0.2"/>
    <row r="369" ht="16" x14ac:dyDescent="0.2"/>
    <row r="370" ht="16" x14ac:dyDescent="0.2"/>
    <row r="371" ht="16" x14ac:dyDescent="0.2"/>
    <row r="372" ht="16" x14ac:dyDescent="0.2"/>
    <row r="373" ht="16" x14ac:dyDescent="0.2"/>
    <row r="374" ht="16" x14ac:dyDescent="0.2"/>
    <row r="375" ht="16" x14ac:dyDescent="0.2"/>
    <row r="376" ht="16" x14ac:dyDescent="0.2"/>
    <row r="377" ht="16" x14ac:dyDescent="0.2"/>
  </sheetData>
  <sortState xmlns:xlrd2="http://schemas.microsoft.com/office/spreadsheetml/2017/richdata2" ref="B2:AE114">
    <sortCondition ref="B2:B114"/>
  </sortState>
  <phoneticPr fontId="8" type="noConversion"/>
  <hyperlinks>
    <hyperlink ref="AA36" r:id="rId1" xr:uid="{673BAE21-3721-4A43-82C5-729E1B741F4B}"/>
    <hyperlink ref="AA114" r:id="rId2" xr:uid="{D60A4BE7-D733-DB4D-8F5E-CB81FDA4AEF9}"/>
    <hyperlink ref="AA113" r:id="rId3" xr:uid="{71105313-227B-1B4B-B4DE-E5E9E4EA1128}"/>
    <hyperlink ref="AA111" r:id="rId4" xr:uid="{AB55EF5A-44F5-BB40-BCA1-B57827CF605C}"/>
    <hyperlink ref="AA110" r:id="rId5" xr:uid="{43580342-7FE9-2244-82AF-1B7C93E772B6}"/>
    <hyperlink ref="AA4" r:id="rId6" xr:uid="{11BABF95-C271-4343-BBE0-56C4D3A02AA5}"/>
    <hyperlink ref="AA108" r:id="rId7" xr:uid="{8DF06699-6E18-234E-AD58-18D3AD924D0D}"/>
    <hyperlink ref="AA105" r:id="rId8" xr:uid="{ECA688A1-F99A-6F44-94D9-964BB00A039B}"/>
    <hyperlink ref="AA104" r:id="rId9" xr:uid="{C39C62B3-8331-C041-A509-92B9769A32DD}"/>
    <hyperlink ref="AA123" r:id="rId10" location="Tab3" xr:uid="{FA88F9FC-5B4D-C344-BF5E-1E97DFF3E475}"/>
    <hyperlink ref="AA103" r:id="rId11" xr:uid="{DF2A7BE4-D4EF-574F-BF0C-C1E24F94EFCA}"/>
    <hyperlink ref="AA21" r:id="rId12" xr:uid="{C5811FBD-D7A4-EC47-860B-F1ED7B291E8D}"/>
    <hyperlink ref="AA100" r:id="rId13" xr:uid="{117B7B98-6210-2047-93B8-3B2DD855520A}"/>
    <hyperlink ref="AA99" r:id="rId14" xr:uid="{584A83B1-BB8C-4242-9EE0-A4482869C97B}"/>
    <hyperlink ref="AA20" r:id="rId15" xr:uid="{C0F72D25-229B-9640-AD8A-1BFD0FF93E81}"/>
    <hyperlink ref="AA97" r:id="rId16" xr:uid="{BD0F00CF-5E47-F842-9D08-FEE49F0CBB18}"/>
    <hyperlink ref="AA96" r:id="rId17" xr:uid="{AE183C89-71DF-1A49-B145-AE7BCDA76385}"/>
    <hyperlink ref="AA95" r:id="rId18" xr:uid="{653D90DB-C748-3843-B1A1-03082A7A13BD}"/>
    <hyperlink ref="AA18" r:id="rId19" xr:uid="{86F1B85B-937F-E946-9B27-A1E2D4B9BF1D}"/>
    <hyperlink ref="AA92" r:id="rId20" xr:uid="{CA7220AB-7C70-4149-81DB-0FD478085D1B}"/>
    <hyperlink ref="AA87" r:id="rId21" xr:uid="{76EA7FDD-A002-C44F-B4C9-30CCF296EFC2}"/>
    <hyperlink ref="AA85" r:id="rId22" xr:uid="{76E56541-FEDB-9E4B-9487-4B860F673137}"/>
    <hyperlink ref="AA14" r:id="rId23" xr:uid="{6D559AFD-4E24-EC46-8986-5427FDC37D5E}"/>
    <hyperlink ref="AA83" r:id="rId24" xr:uid="{C6A9C333-E501-7C48-8D4D-246C6F43B27F}"/>
    <hyperlink ref="AA81" r:id="rId25" xr:uid="{DF43653C-74AF-344B-BE8B-F547D17EDE20}"/>
    <hyperlink ref="AA80" r:id="rId26" xr:uid="{64B16CEA-4BAB-7E44-B4E6-ACC22067326A}"/>
    <hyperlink ref="AA79" r:id="rId27" xr:uid="{BA10FC5E-CF0A-B641-BFEC-FB6ADBF334FD}"/>
    <hyperlink ref="AA78" r:id="rId28" xr:uid="{E68D70BB-9079-8344-9EE4-F5F701BA5A56}"/>
    <hyperlink ref="AA74" r:id="rId29" xr:uid="{EE43D045-B4B0-C746-92B9-7E167F2A00F1}"/>
    <hyperlink ref="AA9" r:id="rId30" xr:uid="{A6B40B80-9C8B-D840-ADD1-C4CAA91C70B9}"/>
    <hyperlink ref="AA5" r:id="rId31" xr:uid="{94292A3D-53E0-F140-9321-E99762B1743C}"/>
    <hyperlink ref="AA72" r:id="rId32" location="Sec18" xr:uid="{8263B5CF-FE82-D641-A075-DC8838BF879A}"/>
    <hyperlink ref="AA3" r:id="rId33" xr:uid="{63FF9CE1-5C36-AD46-9018-AC57DDE62D72}"/>
    <hyperlink ref="AA2" r:id="rId34" xr:uid="{85AFA067-EB53-FD4E-94D2-FA94052E1B53}"/>
    <hyperlink ref="AA63" r:id="rId35" xr:uid="{88FA35EF-51BA-FF44-AFFA-C26D7F5D7DEA}"/>
    <hyperlink ref="AA59" r:id="rId36" xr:uid="{8FA5A137-6055-F241-84BF-9EACAFD92115}"/>
    <hyperlink ref="AA58" r:id="rId37" xr:uid="{0F001B17-A888-4744-8F74-5B635C17FC4C}"/>
    <hyperlink ref="AA53" r:id="rId38" xr:uid="{3966D2CF-6C9B-844A-B675-C732AEF89107}"/>
    <hyperlink ref="AA47" r:id="rId39" xr:uid="{81B15532-ED66-FA45-A7E9-B7FB5E5E4A94}"/>
    <hyperlink ref="AA46" r:id="rId40" xr:uid="{9DA79341-45CB-5E45-8C64-8DE839AE689D}"/>
    <hyperlink ref="AA44" r:id="rId41" xr:uid="{06ABA6D2-BBD1-1742-9E53-691D29CF7760}"/>
    <hyperlink ref="AA43" r:id="rId42" xr:uid="{1CE9EA24-DD81-AB48-827B-12FD86FD136B}"/>
    <hyperlink ref="AA42" r:id="rId43" xr:uid="{65578DA4-E0CD-7245-917F-315E3330B1E7}"/>
    <hyperlink ref="AA40" r:id="rId44" display="https://www.researchgate.net/profile/Rupert-Palme/publication/235952868_Physiological_validation_of_a_non-invasive_method_for_measuring_adrenocortical_activity_in_goats/links/00463514b168495c01000000/Physiological-validation-of-a-non-invasive-method-for-measuring-adrenocortical-activity-in-goats.pdf" xr:uid="{89A19B31-EE87-2D46-AE71-737D407A3732}"/>
    <hyperlink ref="AA37" r:id="rId45" location="Tab3" xr:uid="{D5675EB0-C175-2B4E-98F2-2D7638F0B432}"/>
    <hyperlink ref="AA35" r:id="rId46" xr:uid="{2A6E5E11-A863-5449-887B-AEA51FB3E8A9}"/>
    <hyperlink ref="AA120" r:id="rId47" xr:uid="{4205A5FA-5159-514B-8309-759BAF96FA43}"/>
    <hyperlink ref="AA34" r:id="rId48" xr:uid="{A83527B9-0F64-B140-A3C6-DB35805D976D}"/>
    <hyperlink ref="AA33" r:id="rId49" xr:uid="{5A760C26-468D-084B-B5F7-5BCE63481B30}"/>
    <hyperlink ref="AA89" r:id="rId50" xr:uid="{606D41E8-224A-1449-8FBE-E85AB995B815}"/>
    <hyperlink ref="AA13" r:id="rId51" xr:uid="{26FBAB48-F7DE-524E-B6BB-0ED55A078BC9}"/>
    <hyperlink ref="AA109" r:id="rId52" xr:uid="{084B76A4-0EB7-5440-807D-AA7863C2ED3B}"/>
    <hyperlink ref="AA30" r:id="rId53" xr:uid="{D7C5201F-A6E1-324B-ABD3-EFBC24B010FA}"/>
    <hyperlink ref="AA64" r:id="rId54" xr:uid="{DF4EADA8-1EE9-314D-9087-CFFF148D2042}"/>
    <hyperlink ref="AA7" r:id="rId55" xr:uid="{9AFCC270-DE52-C64B-8451-C23AAE88849F}"/>
    <hyperlink ref="AA121:AA122" r:id="rId56" display="https://journals.co.za/doi/abs/10.3957/056.051.0090" xr:uid="{70089C07-9524-FE42-BB91-8A11DA2FE239}"/>
    <hyperlink ref="AA54" r:id="rId57" xr:uid="{1B323D93-DAF5-FB41-A49E-23501C3BAA72}"/>
    <hyperlink ref="AA45" r:id="rId58" display="https://www.researchgate.net/profile/Regina-Paz/publication/269544331_Evaluation_of_Glucocorticoid_Faecal_Monitoring_as_a_Non-Invasive_Assessment_of_Stress_in_Captive_Crab-Eating_Fox_Cerdocyoun_thous_After_ACTH_Stimulation/links/54c6276d0cf256ed5a9ca591/Evaluation-of-Glucocorticoid-Faecal-Monitoring-as-a-Non-Invasive-Assessment-of-Stress-in-Captive-Crab-Eating-Fox-Cerdocyoun-thous-After-ACTH-Stimulation.pdf?_sg%5B0%5D=started_experiment_milestone&amp;origin=journalDetail" xr:uid="{B16D183F-660B-654F-BA5D-F70F02FC61CE}"/>
    <hyperlink ref="AA38" r:id="rId59" xr:uid="{087D1E73-D983-FF4A-80D5-DBF8B8B38D51}"/>
    <hyperlink ref="AA93" r:id="rId60" xr:uid="{6CCD8329-F997-FA42-AC3D-12A2BB981D95}"/>
    <hyperlink ref="AA60" r:id="rId61" location="sec1-8title" xr:uid="{EE111E0E-2DE2-DA42-9660-153B5DC36C9D}"/>
    <hyperlink ref="AA62" r:id="rId62" xr:uid="{0619CE7C-F0C9-494B-A71A-428129FF6D7B}"/>
    <hyperlink ref="AA107" r:id="rId63" xr:uid="{76F4E62A-9F4A-264E-8DEE-A87FD0A78248}"/>
    <hyperlink ref="AA91" r:id="rId64" xr:uid="{8359A1D1-CB35-4746-A8CC-4595611ABF52}"/>
    <hyperlink ref="AA101" r:id="rId65" xr:uid="{29849947-64C8-6641-AC5E-66BB19BDBD7C}"/>
    <hyperlink ref="AA66" r:id="rId66" xr:uid="{60882877-1FE4-9F4E-896D-9B9056E2E60C}"/>
    <hyperlink ref="AA70" r:id="rId67" xr:uid="{D9DF2EA1-22A9-3B44-AD6B-613DD17CA1D4}"/>
    <hyperlink ref="AA77" r:id="rId68" xr:uid="{B1C79B3C-18DA-45CB-BD7F-EC7B1786CC0F}"/>
    <hyperlink ref="AA11" r:id="rId69" xr:uid="{27A85882-30DD-4242-8913-E6CA7A4F4524}"/>
    <hyperlink ref="AA10" r:id="rId70" xr:uid="{3E3D1C08-BCA8-D94E-BA68-8A42D0AB1E1D}"/>
    <hyperlink ref="AA32" r:id="rId71" xr:uid="{4A35A3FB-576D-4C43-9CCB-AF3A59F704BD}"/>
    <hyperlink ref="AA31" r:id="rId72" xr:uid="{54CA673A-1846-5646-8630-770032F76548}"/>
    <hyperlink ref="AA39" r:id="rId73" xr:uid="{21ED89B0-8586-3E42-A3D8-F5D368A3B7F3}"/>
    <hyperlink ref="AA65" r:id="rId74" xr:uid="{C0BC84C0-2058-2B45-A852-97B23E3F87C1}"/>
    <hyperlink ref="AA73" r:id="rId75" location="Sec18" xr:uid="{754427BF-B8DA-8B4D-92E6-88414CA1C272}"/>
    <hyperlink ref="AA82" r:id="rId76" xr:uid="{319A3D08-01A1-654C-850E-51A9D84DBF0C}"/>
    <hyperlink ref="AA86" r:id="rId77" xr:uid="{0A9969EE-7E3F-834E-9403-5501FEC7BE7D}"/>
    <hyperlink ref="AA88" r:id="rId78" xr:uid="{415F7252-DAC9-B249-9317-7BC1B597F103}"/>
    <hyperlink ref="AA90" r:id="rId79" xr:uid="{5D56ABA8-288C-AF4C-927A-BF0F43AB9D4B}"/>
    <hyperlink ref="AA94" r:id="rId80" xr:uid="{A0F91299-D33D-1440-9E5C-F155801AFEE0}"/>
    <hyperlink ref="AA106" r:id="rId81" xr:uid="{5D5D80DD-A021-7B4A-BE32-3715FA15BF10}"/>
    <hyperlink ref="AA112" r:id="rId82" xr:uid="{85A002EF-97DF-8A49-8EAF-D757BA889FAE}"/>
    <hyperlink ref="AA68" r:id="rId83" display="https://www.researchgate.net/profile/Justin-St-Juliana/publication/331724590_Physiological_validation_of_a_non-invasive_method_to_evaluate_adrenocortical_activity_and_the_time_course_for_the_excretion_of_stress_hormones_in_the_feces_of_three_species_of_desert_gerbils/links/5f733bbda6fdcc008645517a/Physiological-validation-of-a-non-invasive-method-to-evaluate-adrenocortical-activity-and-the-time-course-for-the-excretion-of-stress-hormones-in-the-feces-of-three-species-of-desert-gerbils.pdf" xr:uid="{8A38A9E1-EB8D-E448-AF8A-B07129A8696C}"/>
  </hyperlinks>
  <pageMargins left="0.7" right="0.7" top="0.75" bottom="0.75" header="0.3" footer="0.3"/>
  <pageSetup orientation="portrait" horizontalDpi="0" verticalDpi="0"/>
  <drawing r:id="rId8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DBE4C-49CB-5C44-B199-2F260683DC47}">
  <dimension ref="A1:BB366"/>
  <sheetViews>
    <sheetView zoomScale="56" zoomScaleNormal="56" workbookViewId="0">
      <pane xSplit="2" ySplit="1" topLeftCell="C65" activePane="bottomRight" state="frozen"/>
      <selection pane="topRight" activeCell="C1" sqref="C1"/>
      <selection pane="bottomLeft" activeCell="A2" sqref="A2"/>
      <selection pane="bottomRight" activeCell="B154" sqref="B154"/>
    </sheetView>
  </sheetViews>
  <sheetFormatPr baseColWidth="10" defaultColWidth="11" defaultRowHeight="15.75" customHeight="1" x14ac:dyDescent="0.2"/>
  <cols>
    <col min="2" max="2" width="29.33203125" style="3" customWidth="1"/>
    <col min="3" max="3" width="17.83203125" customWidth="1"/>
    <col min="4" max="4" width="24.1640625" customWidth="1"/>
    <col min="5" max="5" width="16.6640625" customWidth="1"/>
    <col min="6" max="8" width="22.6640625" style="2" customWidth="1"/>
    <col min="9" max="9" width="19.33203125" style="2" customWidth="1"/>
    <col min="10" max="16" width="21.1640625" style="2" customWidth="1"/>
    <col min="17" max="17" width="29.6640625" style="2" customWidth="1"/>
    <col min="18" max="18" width="27.33203125" style="2" customWidth="1"/>
    <col min="19" max="19" width="21.1640625" style="2" customWidth="1"/>
    <col min="20" max="20" width="25.33203125" style="2" customWidth="1"/>
    <col min="21" max="22" width="27.33203125" style="2" customWidth="1"/>
    <col min="23" max="23" width="15.33203125" style="2" customWidth="1"/>
    <col min="24" max="24" width="15.33203125" customWidth="1"/>
    <col min="25" max="25" width="15.83203125" customWidth="1"/>
    <col min="26" max="26" width="21.5" customWidth="1"/>
    <col min="27" max="27" width="13.83203125" customWidth="1"/>
    <col min="28" max="28" width="32.33203125" style="2" customWidth="1"/>
    <col min="29" max="29" width="15" style="2" customWidth="1"/>
    <col min="30" max="30" width="18" customWidth="1"/>
    <col min="32" max="32" width="19.5" customWidth="1"/>
    <col min="33" max="33" width="14.33203125" style="2" customWidth="1"/>
    <col min="34" max="34" width="151.83203125" style="23" customWidth="1"/>
    <col min="35" max="35" width="114.5" customWidth="1"/>
    <col min="36" max="36" width="41.1640625" customWidth="1"/>
    <col min="37" max="37" width="30.83203125" customWidth="1"/>
    <col min="38" max="38" width="123.33203125" customWidth="1"/>
    <col min="39" max="39" width="55.33203125" customWidth="1"/>
    <col min="40" max="40" width="23.1640625" customWidth="1"/>
    <col min="54" max="54" width="61.33203125" customWidth="1"/>
  </cols>
  <sheetData>
    <row r="1" spans="1:54" ht="16" x14ac:dyDescent="0.2">
      <c r="C1" s="88" t="s">
        <v>0</v>
      </c>
      <c r="D1" s="89"/>
      <c r="E1" s="89"/>
      <c r="F1" s="89"/>
      <c r="G1" s="89"/>
      <c r="H1" s="89"/>
      <c r="I1" s="89"/>
      <c r="J1" s="90"/>
      <c r="K1" s="91" t="s">
        <v>436</v>
      </c>
      <c r="L1" s="92"/>
      <c r="M1" s="93" t="s">
        <v>430</v>
      </c>
      <c r="N1" s="94"/>
      <c r="O1" s="94"/>
      <c r="P1" s="94"/>
      <c r="Q1" s="94"/>
      <c r="R1" s="94"/>
      <c r="S1" s="94"/>
      <c r="T1" s="94"/>
      <c r="U1" s="94"/>
      <c r="V1" s="95"/>
      <c r="W1" s="96" t="s">
        <v>2</v>
      </c>
      <c r="X1" s="97"/>
      <c r="Y1" s="97"/>
      <c r="Z1" s="97"/>
      <c r="AA1" s="97"/>
      <c r="AB1" s="98"/>
      <c r="AC1" s="99" t="s">
        <v>3</v>
      </c>
      <c r="AD1" s="100"/>
      <c r="AE1" s="100"/>
      <c r="AF1" s="100"/>
      <c r="AG1" s="101"/>
      <c r="AH1" s="44" t="s">
        <v>4</v>
      </c>
      <c r="AI1" s="46" t="s">
        <v>5</v>
      </c>
      <c r="AJ1" s="47" t="s">
        <v>508</v>
      </c>
      <c r="AK1" s="46" t="s">
        <v>507</v>
      </c>
      <c r="AL1" s="47" t="s">
        <v>509</v>
      </c>
    </row>
    <row r="2" spans="1:54" s="1" customFormat="1" ht="16" x14ac:dyDescent="0.2">
      <c r="A2" s="1" t="s">
        <v>6</v>
      </c>
      <c r="B2" s="9" t="s">
        <v>7</v>
      </c>
      <c r="C2" s="1" t="s">
        <v>8</v>
      </c>
      <c r="D2" s="1" t="s">
        <v>9</v>
      </c>
      <c r="E2" s="1" t="s">
        <v>10</v>
      </c>
      <c r="F2" s="48" t="s">
        <v>11</v>
      </c>
      <c r="G2" s="1" t="s">
        <v>12</v>
      </c>
      <c r="H2" s="1" t="s">
        <v>441</v>
      </c>
      <c r="I2" s="1" t="s">
        <v>13</v>
      </c>
      <c r="J2" s="4" t="s">
        <v>14</v>
      </c>
      <c r="K2" s="1" t="s">
        <v>437</v>
      </c>
      <c r="L2" s="4" t="s">
        <v>438</v>
      </c>
      <c r="M2" s="15" t="s">
        <v>8</v>
      </c>
      <c r="N2" s="15" t="s">
        <v>9</v>
      </c>
      <c r="O2" s="15" t="s">
        <v>10</v>
      </c>
      <c r="P2" s="51" t="s">
        <v>11</v>
      </c>
      <c r="Q2" s="15" t="s">
        <v>12</v>
      </c>
      <c r="R2" s="1" t="s">
        <v>294</v>
      </c>
      <c r="S2" s="15" t="s">
        <v>13</v>
      </c>
      <c r="T2" s="16" t="s">
        <v>14</v>
      </c>
      <c r="U2" s="1" t="s">
        <v>295</v>
      </c>
      <c r="V2" s="1" t="s">
        <v>296</v>
      </c>
      <c r="W2" s="1" t="s">
        <v>15</v>
      </c>
      <c r="X2" s="1" t="s">
        <v>16</v>
      </c>
      <c r="Y2" s="1" t="s">
        <v>17</v>
      </c>
      <c r="Z2" s="1" t="s">
        <v>18</v>
      </c>
      <c r="AA2" s="1" t="s">
        <v>19</v>
      </c>
      <c r="AB2" s="4" t="s">
        <v>20</v>
      </c>
      <c r="AC2" s="1" t="s">
        <v>21</v>
      </c>
      <c r="AD2" s="1" t="s">
        <v>22</v>
      </c>
      <c r="AE2" s="1" t="s">
        <v>23</v>
      </c>
      <c r="AF2" s="1" t="s">
        <v>24</v>
      </c>
      <c r="AG2" s="4" t="s">
        <v>25</v>
      </c>
      <c r="AH2" s="45"/>
      <c r="AI2" s="47"/>
      <c r="BB2" s="1" t="s">
        <v>27</v>
      </c>
    </row>
    <row r="3" spans="1:54" ht="14" customHeight="1" x14ac:dyDescent="0.2">
      <c r="A3" t="s">
        <v>427</v>
      </c>
      <c r="B3" s="3" t="s">
        <v>380</v>
      </c>
      <c r="C3">
        <v>51.7</v>
      </c>
      <c r="E3">
        <v>3798.55</v>
      </c>
      <c r="F3" s="28"/>
      <c r="G3"/>
      <c r="H3"/>
      <c r="I3"/>
      <c r="K3"/>
      <c r="M3" s="13"/>
      <c r="N3" s="13"/>
      <c r="O3" s="13"/>
      <c r="P3" s="52"/>
      <c r="Q3" s="13"/>
      <c r="R3" s="13"/>
      <c r="S3" s="13"/>
      <c r="T3" s="18"/>
      <c r="U3" s="13"/>
      <c r="V3" s="18"/>
      <c r="W3" t="s">
        <v>154</v>
      </c>
      <c r="Y3" t="s">
        <v>381</v>
      </c>
      <c r="Z3" t="s">
        <v>51</v>
      </c>
      <c r="AB3" s="2" t="s">
        <v>382</v>
      </c>
      <c r="AC3">
        <v>67</v>
      </c>
      <c r="AD3" s="5">
        <v>23000000</v>
      </c>
      <c r="AH3" s="23" t="s">
        <v>383</v>
      </c>
      <c r="AI3" s="10" t="s">
        <v>384</v>
      </c>
      <c r="AJ3" t="s">
        <v>464</v>
      </c>
      <c r="AK3" s="64" t="s">
        <v>513</v>
      </c>
      <c r="BB3" t="s">
        <v>518</v>
      </c>
    </row>
    <row r="4" spans="1:54" ht="14" customHeight="1" x14ac:dyDescent="0.2">
      <c r="A4" t="s">
        <v>427</v>
      </c>
      <c r="B4" s="3" t="s">
        <v>376</v>
      </c>
      <c r="C4">
        <v>197.69300000000001</v>
      </c>
      <c r="E4">
        <v>1012.48</v>
      </c>
      <c r="F4" s="28"/>
      <c r="G4"/>
      <c r="H4"/>
      <c r="I4"/>
      <c r="K4"/>
      <c r="M4" s="13"/>
      <c r="N4" s="13"/>
      <c r="O4" s="13"/>
      <c r="P4" s="59"/>
      <c r="Q4" s="13"/>
      <c r="R4" s="13"/>
      <c r="S4" s="13"/>
      <c r="T4" s="18"/>
      <c r="U4" s="13"/>
      <c r="V4" s="18"/>
      <c r="W4" t="s">
        <v>154</v>
      </c>
      <c r="Y4" t="s">
        <v>46</v>
      </c>
      <c r="Z4" t="s">
        <v>51</v>
      </c>
      <c r="AA4">
        <v>188700</v>
      </c>
      <c r="AB4" s="2" t="s">
        <v>377</v>
      </c>
      <c r="AC4">
        <v>32.799999999999997</v>
      </c>
      <c r="AD4" s="5">
        <v>415000</v>
      </c>
      <c r="AH4" s="23" t="s">
        <v>378</v>
      </c>
      <c r="AI4" s="10" t="s">
        <v>379</v>
      </c>
      <c r="AJ4" t="s">
        <v>465</v>
      </c>
      <c r="AK4" s="64" t="s">
        <v>513</v>
      </c>
    </row>
    <row r="5" spans="1:54" ht="16" x14ac:dyDescent="0.2">
      <c r="A5" t="s">
        <v>427</v>
      </c>
      <c r="B5" s="3" t="s">
        <v>372</v>
      </c>
      <c r="C5">
        <v>1501</v>
      </c>
      <c r="E5">
        <v>6961</v>
      </c>
      <c r="F5" s="28"/>
      <c r="G5"/>
      <c r="H5"/>
      <c r="I5"/>
      <c r="K5">
        <v>13</v>
      </c>
      <c r="L5" s="2">
        <v>25</v>
      </c>
      <c r="M5" s="13"/>
      <c r="N5" s="13"/>
      <c r="O5" s="13"/>
      <c r="P5" s="59"/>
      <c r="Q5" s="13"/>
      <c r="R5" s="13"/>
      <c r="S5" s="13"/>
      <c r="T5" s="18"/>
      <c r="U5" s="13"/>
      <c r="V5" s="18"/>
      <c r="W5" t="s">
        <v>154</v>
      </c>
      <c r="Y5" t="s">
        <v>373</v>
      </c>
      <c r="Z5" t="s">
        <v>51</v>
      </c>
      <c r="AA5" s="5">
        <v>202000</v>
      </c>
      <c r="AB5" s="2" t="s">
        <v>34</v>
      </c>
      <c r="AC5">
        <v>51.6</v>
      </c>
      <c r="AD5" s="5">
        <v>200000</v>
      </c>
      <c r="AE5">
        <v>2.15E-3</v>
      </c>
      <c r="AH5" s="23" t="s">
        <v>374</v>
      </c>
      <c r="AI5" s="10" t="s">
        <v>375</v>
      </c>
      <c r="AJ5" t="s">
        <v>499</v>
      </c>
      <c r="AK5" s="64" t="s">
        <v>513</v>
      </c>
      <c r="AL5" t="s">
        <v>435</v>
      </c>
      <c r="AM5" t="s">
        <v>522</v>
      </c>
    </row>
    <row r="6" spans="1:54" ht="16" x14ac:dyDescent="0.2">
      <c r="A6" t="s">
        <v>28</v>
      </c>
      <c r="B6" s="3" t="s">
        <v>104</v>
      </c>
      <c r="F6" s="28"/>
      <c r="G6"/>
      <c r="H6"/>
      <c r="I6">
        <v>620</v>
      </c>
      <c r="J6" s="2">
        <v>1800</v>
      </c>
      <c r="K6"/>
      <c r="M6" s="13"/>
      <c r="N6" s="13"/>
      <c r="O6" s="13"/>
      <c r="P6" s="52"/>
      <c r="Q6" s="13"/>
      <c r="R6" s="13"/>
      <c r="S6" s="13">
        <v>248</v>
      </c>
      <c r="T6" s="18">
        <v>720</v>
      </c>
      <c r="U6" s="13"/>
      <c r="W6" t="s">
        <v>31</v>
      </c>
      <c r="X6">
        <v>5</v>
      </c>
      <c r="Y6" t="s">
        <v>105</v>
      </c>
      <c r="Z6" t="s">
        <v>33</v>
      </c>
      <c r="AC6">
        <v>60.1</v>
      </c>
      <c r="AD6" s="5">
        <v>139842</v>
      </c>
      <c r="AG6" s="2" t="s">
        <v>35</v>
      </c>
      <c r="AI6" s="50" t="s">
        <v>106</v>
      </c>
      <c r="AJ6" s="66" t="s">
        <v>468</v>
      </c>
      <c r="AK6" s="64" t="s">
        <v>513</v>
      </c>
    </row>
    <row r="7" spans="1:54" ht="16" x14ac:dyDescent="0.2">
      <c r="A7" t="s">
        <v>28</v>
      </c>
      <c r="B7" s="3" t="s">
        <v>104</v>
      </c>
      <c r="F7" s="28"/>
      <c r="G7"/>
      <c r="H7"/>
      <c r="I7">
        <v>450</v>
      </c>
      <c r="J7" s="2">
        <v>1890</v>
      </c>
      <c r="K7"/>
      <c r="M7" s="13"/>
      <c r="N7" s="13"/>
      <c r="O7" s="13"/>
      <c r="P7" s="52"/>
      <c r="Q7" s="13"/>
      <c r="R7" s="13"/>
      <c r="S7" s="13">
        <v>180</v>
      </c>
      <c r="T7" s="18">
        <v>756</v>
      </c>
      <c r="U7" s="13"/>
      <c r="W7" t="s">
        <v>31</v>
      </c>
      <c r="X7">
        <v>6</v>
      </c>
      <c r="Y7" t="s">
        <v>105</v>
      </c>
      <c r="Z7" t="s">
        <v>33</v>
      </c>
      <c r="AC7" s="24">
        <v>60.1</v>
      </c>
      <c r="AD7" s="5">
        <v>139842</v>
      </c>
      <c r="AG7" s="2" t="s">
        <v>35</v>
      </c>
      <c r="AI7" s="50" t="s">
        <v>106</v>
      </c>
      <c r="AJ7" s="66" t="s">
        <v>468</v>
      </c>
      <c r="AK7" s="64" t="s">
        <v>513</v>
      </c>
      <c r="BB7" t="s">
        <v>38</v>
      </c>
    </row>
    <row r="8" spans="1:54" ht="16" x14ac:dyDescent="0.2">
      <c r="A8" t="s">
        <v>28</v>
      </c>
      <c r="B8" s="3" t="s">
        <v>104</v>
      </c>
      <c r="D8">
        <v>60</v>
      </c>
      <c r="F8" s="28">
        <v>140</v>
      </c>
      <c r="G8"/>
      <c r="H8"/>
      <c r="I8"/>
      <c r="K8"/>
      <c r="M8" s="13"/>
      <c r="N8" s="13">
        <v>24</v>
      </c>
      <c r="O8" s="13"/>
      <c r="P8" s="52">
        <v>56</v>
      </c>
      <c r="Q8" s="13"/>
      <c r="R8" s="13"/>
      <c r="S8" s="13"/>
      <c r="T8" s="18"/>
      <c r="U8" s="13"/>
      <c r="W8" t="s">
        <v>31</v>
      </c>
      <c r="X8">
        <v>8</v>
      </c>
      <c r="Y8" t="s">
        <v>105</v>
      </c>
      <c r="Z8" t="s">
        <v>33</v>
      </c>
      <c r="AC8" s="24">
        <v>60.1</v>
      </c>
      <c r="AD8" s="5">
        <v>139842</v>
      </c>
      <c r="AG8" s="2" t="s">
        <v>35</v>
      </c>
      <c r="AI8" s="50" t="s">
        <v>106</v>
      </c>
      <c r="AJ8" s="66" t="s">
        <v>468</v>
      </c>
      <c r="AK8" s="64" t="s">
        <v>513</v>
      </c>
    </row>
    <row r="9" spans="1:54" ht="16" x14ac:dyDescent="0.2">
      <c r="A9" t="s">
        <v>28</v>
      </c>
      <c r="B9" s="3" t="s">
        <v>104</v>
      </c>
      <c r="C9">
        <v>20</v>
      </c>
      <c r="E9">
        <v>40</v>
      </c>
      <c r="F9" s="28"/>
      <c r="G9"/>
      <c r="H9"/>
      <c r="I9"/>
      <c r="K9"/>
      <c r="M9" s="13">
        <v>8</v>
      </c>
      <c r="N9" s="13"/>
      <c r="O9" s="13">
        <v>16</v>
      </c>
      <c r="P9" s="52"/>
      <c r="Q9" s="13"/>
      <c r="R9" s="13"/>
      <c r="S9" s="13"/>
      <c r="T9" s="18"/>
      <c r="U9" s="13"/>
      <c r="V9" s="18"/>
      <c r="W9" t="s">
        <v>31</v>
      </c>
      <c r="X9" t="s">
        <v>201</v>
      </c>
      <c r="Y9" t="s">
        <v>105</v>
      </c>
      <c r="Z9" t="s">
        <v>33</v>
      </c>
      <c r="AC9">
        <v>60.1</v>
      </c>
      <c r="AD9" s="5">
        <v>139842</v>
      </c>
      <c r="AG9" s="2" t="s">
        <v>35</v>
      </c>
      <c r="AH9" s="23" t="s">
        <v>202</v>
      </c>
      <c r="AI9" s="50" t="s">
        <v>106</v>
      </c>
      <c r="AJ9" s="66" t="s">
        <v>468</v>
      </c>
      <c r="AK9" s="64" t="s">
        <v>513</v>
      </c>
    </row>
    <row r="10" spans="1:54" ht="16" x14ac:dyDescent="0.2">
      <c r="A10" t="s">
        <v>28</v>
      </c>
      <c r="B10" s="3" t="s">
        <v>66</v>
      </c>
      <c r="C10">
        <v>35.5</v>
      </c>
      <c r="E10">
        <v>188.5</v>
      </c>
      <c r="F10" s="28"/>
      <c r="G10"/>
      <c r="H10"/>
      <c r="I10"/>
      <c r="K10"/>
      <c r="M10" s="13">
        <v>35.5</v>
      </c>
      <c r="N10" s="13"/>
      <c r="O10" s="13">
        <v>188.5</v>
      </c>
      <c r="P10" s="59"/>
      <c r="Q10" s="13"/>
      <c r="R10" s="13"/>
      <c r="S10" s="13"/>
      <c r="T10" s="18"/>
      <c r="U10" s="13"/>
      <c r="W10" t="s">
        <v>31</v>
      </c>
      <c r="X10">
        <v>2</v>
      </c>
      <c r="Y10" t="s">
        <v>46</v>
      </c>
      <c r="Z10" t="s">
        <v>51</v>
      </c>
      <c r="AB10" s="2" t="s">
        <v>34</v>
      </c>
      <c r="AC10">
        <v>38</v>
      </c>
      <c r="AD10" s="5">
        <v>5735</v>
      </c>
      <c r="AG10" s="2" t="s">
        <v>35</v>
      </c>
      <c r="AH10" s="23" t="s">
        <v>67</v>
      </c>
      <c r="AI10" s="10" t="s">
        <v>68</v>
      </c>
      <c r="AJ10" t="s">
        <v>469</v>
      </c>
      <c r="AK10" s="64" t="s">
        <v>513</v>
      </c>
    </row>
    <row r="11" spans="1:54" ht="17" customHeight="1" x14ac:dyDescent="0.2">
      <c r="A11" t="s">
        <v>28</v>
      </c>
      <c r="B11" s="3" t="s">
        <v>66</v>
      </c>
      <c r="F11" s="28"/>
      <c r="G11"/>
      <c r="H11"/>
      <c r="I11">
        <v>3125</v>
      </c>
      <c r="J11" s="2">
        <v>24310</v>
      </c>
      <c r="K11"/>
      <c r="M11" s="13"/>
      <c r="N11" s="13"/>
      <c r="O11" s="13"/>
      <c r="P11" s="52"/>
      <c r="Q11" s="13"/>
      <c r="R11" s="13"/>
      <c r="S11" s="13">
        <v>3125</v>
      </c>
      <c r="T11" s="18">
        <v>24310</v>
      </c>
      <c r="U11" s="13"/>
      <c r="W11" t="s">
        <v>31</v>
      </c>
      <c r="X11">
        <v>5</v>
      </c>
      <c r="Y11" t="s">
        <v>46</v>
      </c>
      <c r="Z11" t="s">
        <v>51</v>
      </c>
      <c r="AB11" s="2" t="s">
        <v>34</v>
      </c>
      <c r="AC11">
        <v>38</v>
      </c>
      <c r="AD11" s="5">
        <v>5735</v>
      </c>
      <c r="AG11" s="2" t="s">
        <v>35</v>
      </c>
      <c r="AH11" s="23" t="s">
        <v>67</v>
      </c>
      <c r="AI11" t="s">
        <v>68</v>
      </c>
      <c r="AJ11" t="s">
        <v>469</v>
      </c>
      <c r="AK11" s="64" t="s">
        <v>513</v>
      </c>
    </row>
    <row r="12" spans="1:54" ht="17" customHeight="1" x14ac:dyDescent="0.2">
      <c r="A12" t="s">
        <v>28</v>
      </c>
      <c r="B12" s="3" t="s">
        <v>66</v>
      </c>
      <c r="F12" s="28"/>
      <c r="G12"/>
      <c r="H12"/>
      <c r="I12">
        <v>1120</v>
      </c>
      <c r="J12" s="2">
        <v>9735</v>
      </c>
      <c r="K12"/>
      <c r="M12" s="13"/>
      <c r="N12" s="13"/>
      <c r="O12" s="13"/>
      <c r="P12" s="52"/>
      <c r="Q12" s="13"/>
      <c r="R12" s="13"/>
      <c r="S12" s="13">
        <v>1120</v>
      </c>
      <c r="T12" s="18">
        <v>9735</v>
      </c>
      <c r="U12" s="13"/>
      <c r="W12" t="s">
        <v>31</v>
      </c>
      <c r="X12">
        <v>6</v>
      </c>
      <c r="Y12" t="s">
        <v>46</v>
      </c>
      <c r="Z12" t="s">
        <v>51</v>
      </c>
      <c r="AB12" s="2" t="s">
        <v>34</v>
      </c>
      <c r="AC12">
        <v>38</v>
      </c>
      <c r="AD12" s="5">
        <v>5735</v>
      </c>
      <c r="AG12" s="2" t="s">
        <v>35</v>
      </c>
      <c r="AH12" s="23" t="s">
        <v>67</v>
      </c>
      <c r="AI12" s="10" t="s">
        <v>68</v>
      </c>
      <c r="AJ12" t="s">
        <v>469</v>
      </c>
      <c r="AK12" s="64" t="s">
        <v>513</v>
      </c>
    </row>
    <row r="13" spans="1:54" ht="17" customHeight="1" x14ac:dyDescent="0.2">
      <c r="A13" t="s">
        <v>28</v>
      </c>
      <c r="B13" s="3" t="s">
        <v>66</v>
      </c>
      <c r="D13">
        <v>25</v>
      </c>
      <c r="F13" s="28">
        <v>749.5</v>
      </c>
      <c r="G13"/>
      <c r="H13"/>
      <c r="I13"/>
      <c r="K13"/>
      <c r="M13" s="13"/>
      <c r="N13" s="13">
        <v>25</v>
      </c>
      <c r="O13" s="13"/>
      <c r="P13" s="52">
        <v>749.5</v>
      </c>
      <c r="Q13" s="13"/>
      <c r="R13" s="13"/>
      <c r="S13" s="13"/>
      <c r="T13" s="18"/>
      <c r="U13" s="13"/>
      <c r="W13" t="s">
        <v>31</v>
      </c>
      <c r="X13">
        <v>8</v>
      </c>
      <c r="Y13" t="s">
        <v>46</v>
      </c>
      <c r="Z13" t="s">
        <v>51</v>
      </c>
      <c r="AB13" s="2" t="s">
        <v>34</v>
      </c>
      <c r="AC13">
        <v>38</v>
      </c>
      <c r="AD13" s="5">
        <v>5735</v>
      </c>
      <c r="AG13" s="2" t="s">
        <v>35</v>
      </c>
      <c r="AH13" s="23" t="s">
        <v>67</v>
      </c>
      <c r="AI13" t="s">
        <v>68</v>
      </c>
      <c r="AJ13" t="s">
        <v>469</v>
      </c>
      <c r="AK13" s="64" t="s">
        <v>513</v>
      </c>
    </row>
    <row r="14" spans="1:54" ht="16" x14ac:dyDescent="0.2">
      <c r="A14" t="s">
        <v>28</v>
      </c>
      <c r="B14" s="3" t="s">
        <v>156</v>
      </c>
      <c r="C14">
        <v>51.505000000000003</v>
      </c>
      <c r="E14">
        <v>80.245000000000005</v>
      </c>
      <c r="F14" s="28"/>
      <c r="G14"/>
      <c r="H14"/>
      <c r="I14"/>
      <c r="K14"/>
      <c r="M14" s="13">
        <v>51.505000000000003</v>
      </c>
      <c r="N14" s="13"/>
      <c r="O14" s="13">
        <v>80.245000000000005</v>
      </c>
      <c r="P14" s="52"/>
      <c r="Q14" s="13"/>
      <c r="R14" s="13"/>
      <c r="S14" s="13"/>
      <c r="T14" s="13"/>
      <c r="U14" s="13"/>
      <c r="V14" s="18"/>
      <c r="W14" s="24" t="s">
        <v>31</v>
      </c>
      <c r="X14">
        <v>13</v>
      </c>
      <c r="Y14" t="s">
        <v>157</v>
      </c>
      <c r="Z14" t="s">
        <v>51</v>
      </c>
      <c r="AB14"/>
      <c r="AC14" s="24">
        <v>28.4</v>
      </c>
      <c r="AD14">
        <v>11950</v>
      </c>
      <c r="AG14" s="2" t="s">
        <v>35</v>
      </c>
      <c r="AH14" s="23" t="s">
        <v>158</v>
      </c>
      <c r="AI14" s="10" t="s">
        <v>159</v>
      </c>
      <c r="AJ14" s="65" t="s">
        <v>474</v>
      </c>
      <c r="AK14" s="64" t="s">
        <v>513</v>
      </c>
    </row>
    <row r="15" spans="1:54" ht="16" x14ac:dyDescent="0.2">
      <c r="A15" t="s">
        <v>28</v>
      </c>
      <c r="B15" s="3" t="s">
        <v>69</v>
      </c>
      <c r="C15">
        <v>420</v>
      </c>
      <c r="E15">
        <v>1940</v>
      </c>
      <c r="F15" s="28"/>
      <c r="G15"/>
      <c r="H15"/>
      <c r="I15"/>
      <c r="K15"/>
      <c r="M15" s="13">
        <v>168</v>
      </c>
      <c r="N15" s="13"/>
      <c r="O15" s="13">
        <v>776</v>
      </c>
      <c r="P15" s="52"/>
      <c r="Q15" s="13"/>
      <c r="R15" s="13"/>
      <c r="S15" s="13"/>
      <c r="T15" s="18"/>
      <c r="U15" s="13"/>
      <c r="W15" t="s">
        <v>31</v>
      </c>
      <c r="X15">
        <v>2</v>
      </c>
      <c r="Y15" t="s">
        <v>70</v>
      </c>
      <c r="Z15" t="s">
        <v>33</v>
      </c>
      <c r="AC15">
        <v>18.2</v>
      </c>
      <c r="AD15">
        <v>64.8</v>
      </c>
      <c r="AG15" s="2" t="s">
        <v>35</v>
      </c>
      <c r="AH15" s="23" t="s">
        <v>71</v>
      </c>
      <c r="AI15" s="10" t="s">
        <v>72</v>
      </c>
      <c r="AJ15" t="s">
        <v>477</v>
      </c>
      <c r="AK15" s="64" t="s">
        <v>513</v>
      </c>
    </row>
    <row r="16" spans="1:54" ht="16" x14ac:dyDescent="0.2">
      <c r="A16" t="s">
        <v>28</v>
      </c>
      <c r="B16" s="3" t="s">
        <v>69</v>
      </c>
      <c r="F16" s="28"/>
      <c r="G16"/>
      <c r="H16"/>
      <c r="I16">
        <v>200</v>
      </c>
      <c r="J16" s="2">
        <v>4500</v>
      </c>
      <c r="K16"/>
      <c r="M16" s="13"/>
      <c r="N16" s="13"/>
      <c r="O16" s="13"/>
      <c r="P16" s="52"/>
      <c r="Q16" s="13"/>
      <c r="R16" s="13"/>
      <c r="S16" s="13">
        <v>80</v>
      </c>
      <c r="T16" s="18">
        <v>1800</v>
      </c>
      <c r="U16" s="13"/>
      <c r="W16" t="s">
        <v>31</v>
      </c>
      <c r="X16">
        <v>5</v>
      </c>
      <c r="Y16" t="s">
        <v>70</v>
      </c>
      <c r="Z16" t="s">
        <v>33</v>
      </c>
      <c r="AC16">
        <v>18.2</v>
      </c>
      <c r="AD16">
        <v>64.8</v>
      </c>
      <c r="AG16" s="2" t="s">
        <v>35</v>
      </c>
      <c r="AH16" s="23" t="s">
        <v>71</v>
      </c>
      <c r="AI16" s="8" t="s">
        <v>72</v>
      </c>
      <c r="AJ16" t="s">
        <v>477</v>
      </c>
      <c r="AK16" s="64" t="s">
        <v>513</v>
      </c>
    </row>
    <row r="17" spans="1:39" ht="16" x14ac:dyDescent="0.2">
      <c r="A17" t="s">
        <v>28</v>
      </c>
      <c r="B17" s="3" t="s">
        <v>69</v>
      </c>
      <c r="F17" s="28"/>
      <c r="G17"/>
      <c r="H17"/>
      <c r="I17">
        <v>120</v>
      </c>
      <c r="J17" s="2">
        <v>1680</v>
      </c>
      <c r="K17"/>
      <c r="M17" s="13"/>
      <c r="N17" s="13"/>
      <c r="O17" s="13"/>
      <c r="P17" s="52"/>
      <c r="Q17" s="13"/>
      <c r="R17" s="13"/>
      <c r="S17" s="13">
        <v>48</v>
      </c>
      <c r="T17" s="18">
        <v>672</v>
      </c>
      <c r="U17" s="13"/>
      <c r="W17" t="s">
        <v>31</v>
      </c>
      <c r="X17">
        <v>6</v>
      </c>
      <c r="Y17" t="s">
        <v>70</v>
      </c>
      <c r="Z17" t="s">
        <v>33</v>
      </c>
      <c r="AC17">
        <v>18.2</v>
      </c>
      <c r="AD17">
        <v>64.8</v>
      </c>
      <c r="AG17" s="2" t="s">
        <v>35</v>
      </c>
      <c r="AH17" s="23" t="s">
        <v>71</v>
      </c>
      <c r="AI17" s="8" t="s">
        <v>72</v>
      </c>
      <c r="AJ17" t="s">
        <v>477</v>
      </c>
      <c r="AK17" s="64" t="s">
        <v>513</v>
      </c>
    </row>
    <row r="18" spans="1:39" ht="16" x14ac:dyDescent="0.2">
      <c r="A18" t="s">
        <v>28</v>
      </c>
      <c r="B18" s="3" t="s">
        <v>69</v>
      </c>
      <c r="D18">
        <v>90</v>
      </c>
      <c r="F18" s="28">
        <v>870</v>
      </c>
      <c r="G18"/>
      <c r="H18"/>
      <c r="I18"/>
      <c r="K18"/>
      <c r="M18" s="13"/>
      <c r="N18" s="13">
        <v>36</v>
      </c>
      <c r="O18" s="13"/>
      <c r="P18" s="52">
        <v>348</v>
      </c>
      <c r="Q18" s="13"/>
      <c r="R18" s="13"/>
      <c r="S18" s="13"/>
      <c r="T18" s="18"/>
      <c r="U18" s="13"/>
      <c r="W18" t="s">
        <v>31</v>
      </c>
      <c r="X18">
        <v>8</v>
      </c>
      <c r="Y18" t="s">
        <v>70</v>
      </c>
      <c r="Z18" t="s">
        <v>33</v>
      </c>
      <c r="AC18">
        <v>18.2</v>
      </c>
      <c r="AD18">
        <v>64.8</v>
      </c>
      <c r="AG18" s="2" t="s">
        <v>35</v>
      </c>
      <c r="AH18" s="23" t="s">
        <v>71</v>
      </c>
      <c r="AI18" s="8" t="s">
        <v>72</v>
      </c>
      <c r="AJ18" t="s">
        <v>477</v>
      </c>
      <c r="AK18" s="64" t="s">
        <v>513</v>
      </c>
    </row>
    <row r="19" spans="1:39" ht="16" x14ac:dyDescent="0.2">
      <c r="A19" t="s">
        <v>28</v>
      </c>
      <c r="B19" s="3" t="s">
        <v>176</v>
      </c>
      <c r="C19">
        <v>25.683</v>
      </c>
      <c r="E19">
        <v>209.113</v>
      </c>
      <c r="F19" s="28"/>
      <c r="G19"/>
      <c r="H19"/>
      <c r="I19"/>
      <c r="K19"/>
      <c r="M19" s="13">
        <v>10.273199999999999</v>
      </c>
      <c r="N19" s="13"/>
      <c r="O19" s="13">
        <v>83.645200000000003</v>
      </c>
      <c r="P19" s="52"/>
      <c r="Q19" s="13"/>
      <c r="R19" s="13"/>
      <c r="S19" s="13"/>
      <c r="T19" s="18"/>
      <c r="U19" s="13"/>
      <c r="V19" s="18"/>
      <c r="W19" t="s">
        <v>154</v>
      </c>
      <c r="X19">
        <v>14</v>
      </c>
      <c r="Y19" t="s">
        <v>157</v>
      </c>
      <c r="Z19" t="s">
        <v>33</v>
      </c>
      <c r="AB19" s="2" t="s">
        <v>177</v>
      </c>
      <c r="AC19">
        <v>20</v>
      </c>
      <c r="AD19" s="5">
        <v>1300</v>
      </c>
      <c r="AE19">
        <v>2.9889999999999999E-3</v>
      </c>
      <c r="AH19" s="23" t="s">
        <v>178</v>
      </c>
      <c r="AI19" s="10" t="s">
        <v>179</v>
      </c>
      <c r="AJ19" t="s">
        <v>481</v>
      </c>
      <c r="AK19" s="64" t="s">
        <v>513</v>
      </c>
    </row>
    <row r="20" spans="1:39" ht="16" x14ac:dyDescent="0.2">
      <c r="A20" t="s">
        <v>28</v>
      </c>
      <c r="B20" s="20" t="s">
        <v>246</v>
      </c>
      <c r="C20">
        <v>3.2</v>
      </c>
      <c r="E20">
        <v>5.15</v>
      </c>
      <c r="F20" s="28"/>
      <c r="G20"/>
      <c r="H20"/>
      <c r="I20"/>
      <c r="K20">
        <v>455</v>
      </c>
      <c r="L20" s="2">
        <v>660</v>
      </c>
      <c r="M20" s="13">
        <v>1.28</v>
      </c>
      <c r="N20" s="13"/>
      <c r="O20" s="13">
        <v>2.06</v>
      </c>
      <c r="P20" s="52"/>
      <c r="Q20" s="13"/>
      <c r="R20" s="13"/>
      <c r="S20" s="13"/>
      <c r="T20" s="18"/>
      <c r="U20" s="13"/>
      <c r="V20" s="18"/>
      <c r="W20" t="s">
        <v>168</v>
      </c>
      <c r="Y20" t="s">
        <v>247</v>
      </c>
      <c r="Z20" t="s">
        <v>33</v>
      </c>
      <c r="AB20" s="2" t="s">
        <v>34</v>
      </c>
      <c r="AC20" s="24">
        <v>68</v>
      </c>
      <c r="AD20" s="5">
        <v>45000</v>
      </c>
      <c r="AE20">
        <v>2.5999999999999999E-3</v>
      </c>
      <c r="AG20" s="2" t="s">
        <v>35</v>
      </c>
      <c r="AH20" s="23" t="s">
        <v>248</v>
      </c>
      <c r="AI20" s="10" t="s">
        <v>249</v>
      </c>
      <c r="AJ20" t="s">
        <v>483</v>
      </c>
      <c r="AK20" s="64" t="s">
        <v>513</v>
      </c>
    </row>
    <row r="21" spans="1:39" ht="16" x14ac:dyDescent="0.2">
      <c r="A21" t="s">
        <v>28</v>
      </c>
      <c r="B21" s="3" t="s">
        <v>242</v>
      </c>
      <c r="C21">
        <v>63.3</v>
      </c>
      <c r="F21" s="28"/>
      <c r="G21"/>
      <c r="H21"/>
      <c r="I21"/>
      <c r="K21">
        <v>474</v>
      </c>
      <c r="M21" s="13">
        <v>63.3</v>
      </c>
      <c r="N21" s="13"/>
      <c r="O21" s="13"/>
      <c r="P21" s="52"/>
      <c r="Q21" s="13"/>
      <c r="R21" s="13"/>
      <c r="S21" s="13"/>
      <c r="T21" s="18"/>
      <c r="U21" s="13"/>
      <c r="V21" s="18"/>
      <c r="W21" t="s">
        <v>168</v>
      </c>
      <c r="Y21" t="s">
        <v>243</v>
      </c>
      <c r="Z21" t="s">
        <v>51</v>
      </c>
      <c r="AB21" s="2" t="s">
        <v>34</v>
      </c>
      <c r="AC21">
        <v>37.5</v>
      </c>
      <c r="AD21" s="5">
        <v>18000</v>
      </c>
      <c r="AE21">
        <v>1.665E-3</v>
      </c>
      <c r="AH21" s="23" t="s">
        <v>244</v>
      </c>
      <c r="AI21" s="10" t="s">
        <v>245</v>
      </c>
      <c r="AJ21" s="64" t="s">
        <v>487</v>
      </c>
      <c r="AK21" s="64" t="s">
        <v>513</v>
      </c>
    </row>
    <row r="22" spans="1:39" ht="16" x14ac:dyDescent="0.2">
      <c r="A22" t="s">
        <v>28</v>
      </c>
      <c r="B22" s="3" t="s">
        <v>102</v>
      </c>
      <c r="F22" s="28"/>
      <c r="G22"/>
      <c r="H22"/>
      <c r="I22">
        <v>917.5</v>
      </c>
      <c r="J22" s="2">
        <v>2312.5</v>
      </c>
      <c r="K22"/>
      <c r="M22" s="13"/>
      <c r="N22" s="13"/>
      <c r="O22" s="13"/>
      <c r="P22" s="52"/>
      <c r="Q22" s="13"/>
      <c r="R22" s="13"/>
      <c r="S22" s="13">
        <f>917.5*0.4</f>
        <v>367</v>
      </c>
      <c r="T22" s="18">
        <f>2312.5*0.4</f>
        <v>925</v>
      </c>
      <c r="U22" s="13"/>
      <c r="W22" t="s">
        <v>31</v>
      </c>
      <c r="X22">
        <v>5</v>
      </c>
      <c r="Y22" t="s">
        <v>46</v>
      </c>
      <c r="Z22" t="s">
        <v>33</v>
      </c>
      <c r="AB22" s="2" t="s">
        <v>34</v>
      </c>
      <c r="AC22">
        <v>31</v>
      </c>
      <c r="AD22" s="5">
        <v>5000</v>
      </c>
      <c r="AE22">
        <v>1.116E-3</v>
      </c>
      <c r="AF22">
        <v>36</v>
      </c>
      <c r="AH22" s="23" t="s">
        <v>516</v>
      </c>
      <c r="AI22" s="10" t="s">
        <v>103</v>
      </c>
      <c r="AJ22" t="s">
        <v>491</v>
      </c>
      <c r="AK22" s="64" t="s">
        <v>513</v>
      </c>
    </row>
    <row r="23" spans="1:39" ht="16" x14ac:dyDescent="0.2">
      <c r="A23" t="s">
        <v>28</v>
      </c>
      <c r="B23" s="3" t="s">
        <v>102</v>
      </c>
      <c r="F23" s="28"/>
      <c r="G23"/>
      <c r="H23"/>
      <c r="I23">
        <v>1270</v>
      </c>
      <c r="J23" s="2">
        <v>4410</v>
      </c>
      <c r="K23"/>
      <c r="M23" s="13"/>
      <c r="N23" s="13"/>
      <c r="O23" s="13"/>
      <c r="P23" s="52"/>
      <c r="Q23" s="13"/>
      <c r="R23" s="13"/>
      <c r="S23" s="13">
        <f>1270*0.4</f>
        <v>508</v>
      </c>
      <c r="T23" s="13">
        <f>4410*0.4</f>
        <v>1764</v>
      </c>
      <c r="U23" s="13"/>
      <c r="W23" s="24" t="s">
        <v>31</v>
      </c>
      <c r="X23">
        <v>6</v>
      </c>
      <c r="Y23" t="s">
        <v>46</v>
      </c>
      <c r="Z23" t="s">
        <v>33</v>
      </c>
      <c r="AB23" t="s">
        <v>34</v>
      </c>
      <c r="AC23" s="24">
        <v>31</v>
      </c>
      <c r="AD23" s="5">
        <v>5000</v>
      </c>
      <c r="AE23">
        <v>1.116E-3</v>
      </c>
      <c r="AF23">
        <v>36</v>
      </c>
      <c r="AH23" s="23" t="s">
        <v>516</v>
      </c>
      <c r="AI23" t="s">
        <v>103</v>
      </c>
      <c r="AJ23" t="s">
        <v>491</v>
      </c>
      <c r="AK23" s="64" t="s">
        <v>513</v>
      </c>
    </row>
    <row r="24" spans="1:39" ht="16" x14ac:dyDescent="0.2">
      <c r="A24" t="s">
        <v>28</v>
      </c>
      <c r="B24" s="3" t="s">
        <v>102</v>
      </c>
      <c r="C24">
        <v>21</v>
      </c>
      <c r="E24">
        <v>37</v>
      </c>
      <c r="F24" s="28"/>
      <c r="G24"/>
      <c r="H24"/>
      <c r="I24"/>
      <c r="K24"/>
      <c r="M24" s="13">
        <f>21*0.4</f>
        <v>8.4</v>
      </c>
      <c r="N24" s="13"/>
      <c r="O24" s="13">
        <f>37*0.4</f>
        <v>14.8</v>
      </c>
      <c r="P24" s="52"/>
      <c r="Q24" s="13"/>
      <c r="R24" s="13"/>
      <c r="S24" s="13"/>
      <c r="T24" s="13"/>
      <c r="U24" s="13"/>
      <c r="W24" s="24" t="s">
        <v>31</v>
      </c>
      <c r="X24">
        <v>7</v>
      </c>
      <c r="Y24" t="s">
        <v>46</v>
      </c>
      <c r="Z24" t="s">
        <v>33</v>
      </c>
      <c r="AB24" s="2" t="s">
        <v>34</v>
      </c>
      <c r="AC24">
        <v>31</v>
      </c>
      <c r="AD24" s="5">
        <v>5000</v>
      </c>
      <c r="AE24">
        <v>1.116E-3</v>
      </c>
      <c r="AF24">
        <v>36</v>
      </c>
      <c r="AH24" s="23" t="s">
        <v>516</v>
      </c>
      <c r="AI24" t="s">
        <v>103</v>
      </c>
      <c r="AJ24" t="s">
        <v>491</v>
      </c>
      <c r="AK24" s="64" t="s">
        <v>513</v>
      </c>
    </row>
    <row r="25" spans="1:39" ht="16" x14ac:dyDescent="0.2">
      <c r="A25" t="s">
        <v>505</v>
      </c>
      <c r="B25" s="3" t="s">
        <v>29</v>
      </c>
      <c r="F25" s="28"/>
      <c r="G25"/>
      <c r="H25"/>
      <c r="I25" t="s">
        <v>30</v>
      </c>
      <c r="J25" s="2">
        <v>1650</v>
      </c>
      <c r="K25"/>
      <c r="M25" s="13"/>
      <c r="N25" s="13"/>
      <c r="O25" s="13"/>
      <c r="P25" s="52"/>
      <c r="Q25" s="13"/>
      <c r="R25" s="13"/>
      <c r="S25" s="13">
        <v>247.15100000000001</v>
      </c>
      <c r="T25" s="13">
        <v>660</v>
      </c>
      <c r="U25" s="13"/>
      <c r="W25" s="24" t="s">
        <v>31</v>
      </c>
      <c r="X25">
        <v>1</v>
      </c>
      <c r="Y25" t="s">
        <v>32</v>
      </c>
      <c r="Z25" t="s">
        <v>33</v>
      </c>
      <c r="AA25">
        <v>8025</v>
      </c>
      <c r="AB25" s="2" t="s">
        <v>34</v>
      </c>
      <c r="AC25"/>
      <c r="AD25" s="5">
        <v>7000</v>
      </c>
      <c r="AG25" s="2" t="s">
        <v>35</v>
      </c>
      <c r="AH25" s="23" t="s">
        <v>36</v>
      </c>
      <c r="AI25" s="10" t="s">
        <v>37</v>
      </c>
      <c r="AJ25" s="65" t="s">
        <v>446</v>
      </c>
      <c r="AK25" s="64" t="s">
        <v>513</v>
      </c>
    </row>
    <row r="26" spans="1:39" ht="16" x14ac:dyDescent="0.2">
      <c r="A26" t="s">
        <v>505</v>
      </c>
      <c r="B26" s="3" t="s">
        <v>100</v>
      </c>
      <c r="F26" s="28"/>
      <c r="G26"/>
      <c r="H26"/>
      <c r="I26">
        <v>165</v>
      </c>
      <c r="J26" s="2">
        <v>718.5</v>
      </c>
      <c r="K26"/>
      <c r="M26" s="13"/>
      <c r="N26" s="13"/>
      <c r="O26" s="13"/>
      <c r="P26" s="52"/>
      <c r="Q26" s="13"/>
      <c r="R26" s="13"/>
      <c r="S26" s="13">
        <v>165</v>
      </c>
      <c r="T26" s="13">
        <v>718.5</v>
      </c>
      <c r="U26" s="13"/>
      <c r="W26" s="24" t="s">
        <v>31</v>
      </c>
      <c r="X26">
        <v>5</v>
      </c>
      <c r="Y26" t="s">
        <v>46</v>
      </c>
      <c r="Z26" t="s">
        <v>51</v>
      </c>
      <c r="AB26" t="s">
        <v>34</v>
      </c>
      <c r="AC26" s="24">
        <v>46</v>
      </c>
      <c r="AD26" s="5">
        <v>2643</v>
      </c>
      <c r="AE26">
        <v>2.6199999999999999E-3</v>
      </c>
      <c r="AG26" s="2" t="s">
        <v>431</v>
      </c>
      <c r="AH26" s="23" t="s">
        <v>101</v>
      </c>
      <c r="AI26" s="10" t="s">
        <v>65</v>
      </c>
      <c r="AJ26" t="s">
        <v>452</v>
      </c>
      <c r="AK26" s="64" t="s">
        <v>513</v>
      </c>
      <c r="AL26" s="10" t="s">
        <v>432</v>
      </c>
      <c r="AM26" t="s">
        <v>520</v>
      </c>
    </row>
    <row r="27" spans="1:39" ht="16" x14ac:dyDescent="0.2">
      <c r="A27" t="s">
        <v>505</v>
      </c>
      <c r="B27" s="3" t="s">
        <v>100</v>
      </c>
      <c r="F27" s="28"/>
      <c r="G27"/>
      <c r="H27"/>
      <c r="I27">
        <v>935</v>
      </c>
      <c r="J27" s="2">
        <v>38110</v>
      </c>
      <c r="K27"/>
      <c r="M27" s="13"/>
      <c r="N27" s="13"/>
      <c r="O27" s="13"/>
      <c r="P27" s="52"/>
      <c r="Q27" s="13"/>
      <c r="R27" s="13"/>
      <c r="S27" s="13">
        <v>935</v>
      </c>
      <c r="T27" s="13">
        <v>38110</v>
      </c>
      <c r="U27" s="13"/>
      <c r="W27" s="24" t="s">
        <v>31</v>
      </c>
      <c r="X27">
        <v>6</v>
      </c>
      <c r="Y27" t="s">
        <v>46</v>
      </c>
      <c r="Z27" t="s">
        <v>51</v>
      </c>
      <c r="AB27" t="s">
        <v>34</v>
      </c>
      <c r="AC27" s="24">
        <v>46</v>
      </c>
      <c r="AD27" s="5">
        <v>2643</v>
      </c>
      <c r="AE27">
        <v>2.6199999999999999E-3</v>
      </c>
      <c r="AG27" s="2" t="s">
        <v>431</v>
      </c>
      <c r="AH27" s="23" t="s">
        <v>101</v>
      </c>
      <c r="AI27" s="49" t="s">
        <v>65</v>
      </c>
      <c r="AJ27" s="64" t="s">
        <v>452</v>
      </c>
      <c r="AK27" s="64" t="s">
        <v>513</v>
      </c>
      <c r="AL27" t="s">
        <v>432</v>
      </c>
      <c r="AM27" t="s">
        <v>520</v>
      </c>
    </row>
    <row r="28" spans="1:39" ht="16" x14ac:dyDescent="0.2">
      <c r="A28" t="s">
        <v>505</v>
      </c>
      <c r="B28" s="3" t="s">
        <v>100</v>
      </c>
      <c r="D28">
        <v>1240</v>
      </c>
      <c r="F28" s="28">
        <v>64845</v>
      </c>
      <c r="G28"/>
      <c r="H28"/>
      <c r="I28"/>
      <c r="K28"/>
      <c r="M28" s="13"/>
      <c r="N28" s="13">
        <v>1240</v>
      </c>
      <c r="O28" s="13"/>
      <c r="P28" s="52">
        <v>64845</v>
      </c>
      <c r="Q28" s="13"/>
      <c r="R28" s="13"/>
      <c r="S28" s="13"/>
      <c r="T28" s="13"/>
      <c r="U28" s="13"/>
      <c r="W28" s="24" t="s">
        <v>31</v>
      </c>
      <c r="X28">
        <v>8</v>
      </c>
      <c r="Y28" t="s">
        <v>46</v>
      </c>
      <c r="Z28" t="s">
        <v>51</v>
      </c>
      <c r="AB28" t="s">
        <v>34</v>
      </c>
      <c r="AC28" s="24">
        <v>46</v>
      </c>
      <c r="AD28" s="5">
        <v>2643</v>
      </c>
      <c r="AE28">
        <v>2.6199999999999999E-3</v>
      </c>
      <c r="AG28" s="2" t="s">
        <v>431</v>
      </c>
      <c r="AI28" t="s">
        <v>65</v>
      </c>
      <c r="AJ28" t="s">
        <v>452</v>
      </c>
      <c r="AK28" s="64" t="s">
        <v>513</v>
      </c>
      <c r="AL28" t="s">
        <v>432</v>
      </c>
      <c r="AM28" t="s">
        <v>520</v>
      </c>
    </row>
    <row r="29" spans="1:39" ht="16" x14ac:dyDescent="0.2">
      <c r="A29" t="s">
        <v>505</v>
      </c>
      <c r="B29" s="3" t="s">
        <v>64</v>
      </c>
      <c r="C29">
        <v>7860</v>
      </c>
      <c r="E29">
        <v>121250</v>
      </c>
      <c r="F29" s="28"/>
      <c r="G29"/>
      <c r="H29"/>
      <c r="I29"/>
      <c r="K29"/>
      <c r="M29" s="13">
        <v>7860</v>
      </c>
      <c r="N29" s="13"/>
      <c r="O29" s="13">
        <v>121250</v>
      </c>
      <c r="P29" s="52"/>
      <c r="Q29" s="13"/>
      <c r="R29" s="13"/>
      <c r="S29" s="13"/>
      <c r="T29" s="13"/>
      <c r="U29" s="13"/>
      <c r="W29" s="24" t="s">
        <v>31</v>
      </c>
      <c r="X29">
        <v>2</v>
      </c>
      <c r="Y29" t="s">
        <v>46</v>
      </c>
      <c r="Z29" t="s">
        <v>51</v>
      </c>
      <c r="AB29" t="s">
        <v>34</v>
      </c>
      <c r="AC29" s="24">
        <v>46</v>
      </c>
      <c r="AD29" s="5">
        <v>2643</v>
      </c>
      <c r="AE29">
        <v>2.6199999999999999E-3</v>
      </c>
      <c r="AG29" s="2" t="s">
        <v>431</v>
      </c>
      <c r="AI29" t="s">
        <v>65</v>
      </c>
      <c r="AJ29" t="s">
        <v>452</v>
      </c>
      <c r="AK29" s="64" t="s">
        <v>513</v>
      </c>
      <c r="AL29" t="s">
        <v>432</v>
      </c>
      <c r="AM29" t="s">
        <v>520</v>
      </c>
    </row>
    <row r="30" spans="1:39" ht="16" x14ac:dyDescent="0.2">
      <c r="A30" t="s">
        <v>505</v>
      </c>
      <c r="B30" s="3" t="s">
        <v>194</v>
      </c>
      <c r="C30">
        <v>4375</v>
      </c>
      <c r="E30">
        <v>43600</v>
      </c>
      <c r="F30" s="28"/>
      <c r="G30"/>
      <c r="H30"/>
      <c r="I30"/>
      <c r="K30"/>
      <c r="M30" s="13">
        <v>1.75</v>
      </c>
      <c r="N30" s="13"/>
      <c r="O30" s="13">
        <v>43.6</v>
      </c>
      <c r="P30" s="52"/>
      <c r="Q30" s="13"/>
      <c r="R30" s="13"/>
      <c r="S30" s="13"/>
      <c r="T30" s="13"/>
      <c r="U30" s="13"/>
      <c r="V30" s="18"/>
      <c r="W30" s="24" t="s">
        <v>31</v>
      </c>
      <c r="X30" t="s">
        <v>195</v>
      </c>
      <c r="Y30" t="s">
        <v>46</v>
      </c>
      <c r="Z30" t="s">
        <v>33</v>
      </c>
      <c r="AA30">
        <v>3036.36</v>
      </c>
      <c r="AB30" t="s">
        <v>34</v>
      </c>
      <c r="AC30" s="24"/>
      <c r="AD30">
        <v>2800</v>
      </c>
      <c r="AH30" s="23" t="s">
        <v>196</v>
      </c>
      <c r="AI30" s="10" t="s">
        <v>197</v>
      </c>
      <c r="AJ30" t="s">
        <v>494</v>
      </c>
      <c r="AK30" s="64" t="s">
        <v>513</v>
      </c>
    </row>
    <row r="31" spans="1:39" ht="16" x14ac:dyDescent="0.2">
      <c r="B31" s="3" t="s">
        <v>214</v>
      </c>
      <c r="C31">
        <v>618.5</v>
      </c>
      <c r="D31">
        <v>232.9</v>
      </c>
      <c r="E31">
        <v>1850.3</v>
      </c>
      <c r="F31" s="28">
        <v>3578</v>
      </c>
      <c r="G31">
        <f>C31+D31</f>
        <v>851.4</v>
      </c>
      <c r="H31">
        <f>E31+F31</f>
        <v>5428.3</v>
      </c>
      <c r="I31"/>
      <c r="K31">
        <v>29</v>
      </c>
      <c r="L31" s="2">
        <v>286</v>
      </c>
      <c r="M31" s="13">
        <v>618.5</v>
      </c>
      <c r="N31" s="13">
        <v>232.9</v>
      </c>
      <c r="O31" s="13">
        <v>1850.3</v>
      </c>
      <c r="P31" s="52">
        <v>3578</v>
      </c>
      <c r="Q31" s="13">
        <v>851.4</v>
      </c>
      <c r="R31" s="13">
        <f>O31+P31</f>
        <v>5428.3</v>
      </c>
      <c r="S31" s="13"/>
      <c r="T31" s="13"/>
      <c r="U31" s="13">
        <f>M31/N31</f>
        <v>2.6556462000858736</v>
      </c>
      <c r="V31" s="18">
        <f>O31/P31</f>
        <v>0.5171324762437115</v>
      </c>
      <c r="W31" s="24" t="s">
        <v>215</v>
      </c>
      <c r="X31" t="s">
        <v>216</v>
      </c>
      <c r="Y31" t="s">
        <v>217</v>
      </c>
      <c r="Z31" t="s">
        <v>51</v>
      </c>
      <c r="AB31" t="s">
        <v>34</v>
      </c>
      <c r="AC31" s="24">
        <v>20.5</v>
      </c>
      <c r="AD31" s="6">
        <v>38446.1</v>
      </c>
      <c r="AE31">
        <v>1.6069999999999999E-3</v>
      </c>
      <c r="AF31">
        <v>39</v>
      </c>
      <c r="AI31" s="49" t="s">
        <v>218</v>
      </c>
      <c r="AJ31" s="64" t="s">
        <v>443</v>
      </c>
      <c r="AK31" s="64" t="s">
        <v>513</v>
      </c>
    </row>
    <row r="32" spans="1:39" ht="16" x14ac:dyDescent="0.2">
      <c r="B32" s="3" t="s">
        <v>88</v>
      </c>
      <c r="F32" s="28"/>
      <c r="G32"/>
      <c r="H32"/>
      <c r="I32">
        <v>1077.33</v>
      </c>
      <c r="J32" s="2">
        <v>1838.98</v>
      </c>
      <c r="K32"/>
      <c r="M32"/>
      <c r="N32"/>
      <c r="O32"/>
      <c r="P32" s="67"/>
      <c r="Q32"/>
      <c r="R32"/>
      <c r="S32" s="13">
        <f>1077.33*0.4</f>
        <v>430.93200000000002</v>
      </c>
      <c r="T32" s="13">
        <f>1838.98*0.4</f>
        <v>735.5920000000001</v>
      </c>
      <c r="U32"/>
      <c r="W32" s="24" t="s">
        <v>31</v>
      </c>
      <c r="X32">
        <v>4</v>
      </c>
      <c r="Y32" t="s">
        <v>46</v>
      </c>
      <c r="Z32" t="s">
        <v>33</v>
      </c>
      <c r="AB32" t="s">
        <v>89</v>
      </c>
      <c r="AC32" s="24">
        <v>5.9</v>
      </c>
      <c r="AD32" s="5">
        <v>45.2</v>
      </c>
      <c r="AE32">
        <v>6.143E-3</v>
      </c>
      <c r="AF32">
        <v>37.5</v>
      </c>
      <c r="AH32" s="23" t="s">
        <v>514</v>
      </c>
      <c r="AI32" s="10" t="s">
        <v>91</v>
      </c>
      <c r="AJ32" s="65" t="s">
        <v>444</v>
      </c>
      <c r="AK32" s="64" t="s">
        <v>513</v>
      </c>
    </row>
    <row r="33" spans="2:39" ht="16" x14ac:dyDescent="0.2">
      <c r="B33" s="3" t="s">
        <v>88</v>
      </c>
      <c r="F33" s="28"/>
      <c r="G33"/>
      <c r="H33"/>
      <c r="I33">
        <v>3524.28</v>
      </c>
      <c r="J33" s="2">
        <v>7682.35</v>
      </c>
      <c r="K33"/>
      <c r="M33"/>
      <c r="N33"/>
      <c r="O33"/>
      <c r="P33" s="67"/>
      <c r="Q33"/>
      <c r="R33"/>
      <c r="S33" s="13">
        <f>3524.28*0.4</f>
        <v>1409.7120000000002</v>
      </c>
      <c r="T33" s="13">
        <f>7682.35*0.4</f>
        <v>3072.9400000000005</v>
      </c>
      <c r="U33"/>
      <c r="W33" s="24" t="s">
        <v>31</v>
      </c>
      <c r="X33">
        <v>11</v>
      </c>
      <c r="Y33" t="s">
        <v>46</v>
      </c>
      <c r="Z33" t="s">
        <v>33</v>
      </c>
      <c r="AB33" t="s">
        <v>89</v>
      </c>
      <c r="AC33" s="24">
        <v>5.9</v>
      </c>
      <c r="AD33" s="5">
        <v>45.2</v>
      </c>
      <c r="AE33">
        <v>6.143E-3</v>
      </c>
      <c r="AF33">
        <v>37.5</v>
      </c>
      <c r="AH33" s="23" t="s">
        <v>90</v>
      </c>
      <c r="AI33" s="10" t="s">
        <v>91</v>
      </c>
      <c r="AJ33" s="65" t="s">
        <v>444</v>
      </c>
      <c r="AK33" s="64" t="s">
        <v>513</v>
      </c>
    </row>
    <row r="34" spans="2:39" ht="16" x14ac:dyDescent="0.2">
      <c r="B34" s="3" t="s">
        <v>234</v>
      </c>
      <c r="C34">
        <v>114.66</v>
      </c>
      <c r="E34">
        <v>179.49199999999999</v>
      </c>
      <c r="F34" s="28"/>
      <c r="G34"/>
      <c r="H34"/>
      <c r="I34"/>
      <c r="K34"/>
      <c r="M34" s="13">
        <v>114.66</v>
      </c>
      <c r="N34" s="13"/>
      <c r="O34" s="13">
        <v>179.49199999999999</v>
      </c>
      <c r="P34" s="52"/>
      <c r="Q34" s="13"/>
      <c r="R34" s="13"/>
      <c r="S34" s="13"/>
      <c r="T34" s="13"/>
      <c r="U34" s="13"/>
      <c r="V34" s="18"/>
      <c r="W34" s="24" t="s">
        <v>229</v>
      </c>
      <c r="Y34" t="s">
        <v>235</v>
      </c>
      <c r="Z34" t="s">
        <v>51</v>
      </c>
      <c r="AB34" t="s">
        <v>34</v>
      </c>
      <c r="AC34" s="24">
        <v>36.799999999999997</v>
      </c>
      <c r="AD34" s="5">
        <v>117500</v>
      </c>
      <c r="AH34" s="23" t="s">
        <v>236</v>
      </c>
      <c r="AI34" s="10" t="s">
        <v>237</v>
      </c>
      <c r="AJ34" s="65" t="s">
        <v>445</v>
      </c>
      <c r="AK34" s="64" t="s">
        <v>513</v>
      </c>
    </row>
    <row r="35" spans="2:39" ht="16" x14ac:dyDescent="0.2">
      <c r="B35" s="3" t="s">
        <v>86</v>
      </c>
      <c r="F35" s="28"/>
      <c r="G35"/>
      <c r="H35"/>
      <c r="I35">
        <v>130.333</v>
      </c>
      <c r="K35"/>
      <c r="M35" s="13"/>
      <c r="N35" s="13"/>
      <c r="O35" s="13"/>
      <c r="P35" s="52"/>
      <c r="Q35" s="13"/>
      <c r="R35" s="13"/>
      <c r="S35" s="13">
        <v>130.333</v>
      </c>
      <c r="T35" s="18"/>
      <c r="U35" s="13"/>
      <c r="W35" t="s">
        <v>31</v>
      </c>
      <c r="X35">
        <v>4</v>
      </c>
      <c r="Y35" t="s">
        <v>35</v>
      </c>
      <c r="Z35" t="s">
        <v>51</v>
      </c>
      <c r="AB35" s="2" t="s">
        <v>84</v>
      </c>
      <c r="AC35">
        <v>13.7</v>
      </c>
      <c r="AD35" s="5">
        <v>102500</v>
      </c>
      <c r="AH35" s="23" t="s">
        <v>87</v>
      </c>
      <c r="AI35" s="10" t="s">
        <v>85</v>
      </c>
      <c r="AJ35" s="65" t="s">
        <v>442</v>
      </c>
      <c r="AK35" s="64" t="s">
        <v>513</v>
      </c>
    </row>
    <row r="36" spans="2:39" ht="16" x14ac:dyDescent="0.2">
      <c r="B36" s="3" t="s">
        <v>39</v>
      </c>
      <c r="F36" s="28"/>
      <c r="G36"/>
      <c r="H36"/>
      <c r="I36">
        <v>96.4</v>
      </c>
      <c r="K36">
        <v>15</v>
      </c>
      <c r="L36" s="2">
        <v>44</v>
      </c>
      <c r="M36" s="13"/>
      <c r="N36" s="13"/>
      <c r="O36" s="13"/>
      <c r="P36" s="52"/>
      <c r="Q36" s="13"/>
      <c r="R36" s="13"/>
      <c r="S36" s="13">
        <f>96.4*0.4</f>
        <v>38.56</v>
      </c>
      <c r="T36" s="18"/>
      <c r="U36" s="13"/>
      <c r="W36" t="s">
        <v>31</v>
      </c>
      <c r="X36">
        <v>1</v>
      </c>
      <c r="Y36" t="s">
        <v>35</v>
      </c>
      <c r="Z36" t="s">
        <v>33</v>
      </c>
      <c r="AB36" s="2" t="s">
        <v>42</v>
      </c>
      <c r="AC36">
        <v>20</v>
      </c>
      <c r="AD36" s="5">
        <v>750000</v>
      </c>
      <c r="AE36">
        <v>8.8400000000000002E-4</v>
      </c>
      <c r="AF36">
        <v>38</v>
      </c>
      <c r="AH36" s="23" t="s">
        <v>515</v>
      </c>
      <c r="AI36" s="10" t="s">
        <v>44</v>
      </c>
      <c r="AJ36" t="s">
        <v>447</v>
      </c>
      <c r="AK36" s="64" t="s">
        <v>513</v>
      </c>
    </row>
    <row r="37" spans="2:39" ht="15" customHeight="1" x14ac:dyDescent="0.2">
      <c r="B37" s="58" t="s">
        <v>278</v>
      </c>
      <c r="C37">
        <v>503.9</v>
      </c>
      <c r="E37">
        <v>2060.92</v>
      </c>
      <c r="F37" s="28"/>
      <c r="G37"/>
      <c r="H37"/>
      <c r="I37"/>
      <c r="K37"/>
      <c r="L37" s="2">
        <v>46</v>
      </c>
      <c r="M37">
        <f>503.9*0.4</f>
        <v>201.56</v>
      </c>
      <c r="N37"/>
      <c r="O37">
        <f>2060.92*0.4</f>
        <v>824.36800000000005</v>
      </c>
      <c r="P37" s="67"/>
      <c r="Q37"/>
      <c r="R37"/>
      <c r="S37"/>
      <c r="U37" s="13"/>
      <c r="V37" s="18"/>
      <c r="W37" t="s">
        <v>279</v>
      </c>
      <c r="X37" t="s">
        <v>280</v>
      </c>
      <c r="Y37" t="s">
        <v>46</v>
      </c>
      <c r="Z37" t="s">
        <v>33</v>
      </c>
      <c r="AA37" s="5">
        <v>410000</v>
      </c>
      <c r="AB37" s="2" t="s">
        <v>282</v>
      </c>
      <c r="AC37">
        <v>28.4</v>
      </c>
      <c r="AD37" s="5">
        <v>434000</v>
      </c>
      <c r="AE37">
        <v>5.5199999999999997E-4</v>
      </c>
      <c r="AF37">
        <v>37.5</v>
      </c>
      <c r="AH37" s="23" t="s">
        <v>516</v>
      </c>
      <c r="AI37" s="10" t="s">
        <v>283</v>
      </c>
      <c r="AJ37" t="s">
        <v>448</v>
      </c>
      <c r="AK37" s="64" t="s">
        <v>513</v>
      </c>
    </row>
    <row r="38" spans="2:39" ht="16" x14ac:dyDescent="0.2">
      <c r="B38" s="3" t="s">
        <v>225</v>
      </c>
      <c r="C38">
        <v>312.55</v>
      </c>
      <c r="D38">
        <v>215.8</v>
      </c>
      <c r="E38">
        <v>969.85</v>
      </c>
      <c r="F38" s="28">
        <v>684.8</v>
      </c>
      <c r="G38">
        <f>C38+D38</f>
        <v>528.35</v>
      </c>
      <c r="H38">
        <f>E38+F38</f>
        <v>1654.65</v>
      </c>
      <c r="I38">
        <f>C38+D38</f>
        <v>528.35</v>
      </c>
      <c r="J38" s="2">
        <f>E38+F38</f>
        <v>1654.65</v>
      </c>
      <c r="K38"/>
      <c r="M38" s="13">
        <v>312.55</v>
      </c>
      <c r="N38" s="13">
        <v>215.8</v>
      </c>
      <c r="O38" s="13">
        <v>969.85</v>
      </c>
      <c r="P38" s="52">
        <v>684.8</v>
      </c>
      <c r="Q38" s="13">
        <v>528.35</v>
      </c>
      <c r="R38" s="13">
        <f>O38+P38</f>
        <v>1654.65</v>
      </c>
      <c r="S38" s="13">
        <v>528.35</v>
      </c>
      <c r="T38" s="18">
        <v>1654.65</v>
      </c>
      <c r="U38" s="13">
        <f>M38/N38</f>
        <v>1.4483317886932345</v>
      </c>
      <c r="V38" s="13">
        <f>O38/P38</f>
        <v>1.4162529205607477</v>
      </c>
      <c r="W38" t="s">
        <v>215</v>
      </c>
      <c r="X38" t="s">
        <v>216</v>
      </c>
      <c r="Y38" t="s">
        <v>217</v>
      </c>
      <c r="Z38" t="s">
        <v>51</v>
      </c>
      <c r="AB38" s="2" t="s">
        <v>34</v>
      </c>
      <c r="AC38"/>
      <c r="AD38">
        <v>22983.200000000001</v>
      </c>
      <c r="AH38" s="23" t="s">
        <v>226</v>
      </c>
      <c r="AI38" s="49" t="s">
        <v>218</v>
      </c>
      <c r="AJ38" s="64" t="s">
        <v>443</v>
      </c>
      <c r="AK38" s="64" t="s">
        <v>513</v>
      </c>
    </row>
    <row r="39" spans="2:39" ht="16" x14ac:dyDescent="0.2">
      <c r="B39" s="3" t="s">
        <v>45</v>
      </c>
      <c r="F39" s="28"/>
      <c r="G39"/>
      <c r="H39"/>
      <c r="I39">
        <v>124</v>
      </c>
      <c r="J39" s="2">
        <v>1096</v>
      </c>
      <c r="K39">
        <v>17</v>
      </c>
      <c r="M39" s="13"/>
      <c r="N39" s="13"/>
      <c r="O39" s="13"/>
      <c r="P39" s="52"/>
      <c r="Q39" s="13"/>
      <c r="R39" s="13"/>
      <c r="S39" s="13">
        <f>124*0.4</f>
        <v>49.6</v>
      </c>
      <c r="T39" s="18">
        <f>1096*0.4</f>
        <v>438.40000000000003</v>
      </c>
      <c r="U39" s="13"/>
      <c r="V39"/>
      <c r="W39" t="s">
        <v>31</v>
      </c>
      <c r="X39">
        <v>1</v>
      </c>
      <c r="Y39" t="s">
        <v>46</v>
      </c>
      <c r="Z39" t="s">
        <v>33</v>
      </c>
      <c r="AB39" s="2" t="s">
        <v>34</v>
      </c>
      <c r="AC39">
        <v>20.8</v>
      </c>
      <c r="AD39" s="5">
        <v>61000</v>
      </c>
      <c r="AE39">
        <v>1.4E-3</v>
      </c>
      <c r="AF39">
        <v>39.299999999999997</v>
      </c>
      <c r="AH39" s="23" t="s">
        <v>516</v>
      </c>
      <c r="AI39" s="10" t="s">
        <v>48</v>
      </c>
      <c r="AJ39" t="s">
        <v>449</v>
      </c>
      <c r="AK39" s="64" t="s">
        <v>513</v>
      </c>
      <c r="AL39" t="s">
        <v>434</v>
      </c>
      <c r="AM39" t="s">
        <v>519</v>
      </c>
    </row>
    <row r="40" spans="2:39" ht="16" x14ac:dyDescent="0.2">
      <c r="B40" s="3" t="s">
        <v>45</v>
      </c>
      <c r="F40" s="28"/>
      <c r="G40"/>
      <c r="H40"/>
      <c r="I40">
        <v>316</v>
      </c>
      <c r="J40" s="2">
        <v>2423</v>
      </c>
      <c r="K40">
        <v>17</v>
      </c>
      <c r="M40" s="13"/>
      <c r="N40" s="13"/>
      <c r="O40" s="13"/>
      <c r="P40" s="52"/>
      <c r="Q40" s="13"/>
      <c r="R40" s="13"/>
      <c r="S40" s="13">
        <f>316*0.4</f>
        <v>126.4</v>
      </c>
      <c r="T40" s="18">
        <f>2423*0.4</f>
        <v>969.2</v>
      </c>
      <c r="U40" s="13"/>
      <c r="V40"/>
      <c r="W40" t="s">
        <v>31</v>
      </c>
      <c r="X40">
        <v>4</v>
      </c>
      <c r="Y40" t="s">
        <v>46</v>
      </c>
      <c r="Z40" t="s">
        <v>33</v>
      </c>
      <c r="AB40" s="2" t="s">
        <v>34</v>
      </c>
      <c r="AC40">
        <v>20.8</v>
      </c>
      <c r="AD40" s="5">
        <v>61000</v>
      </c>
      <c r="AE40">
        <v>1.4E-3</v>
      </c>
      <c r="AF40">
        <v>39.299999999999997</v>
      </c>
      <c r="AH40" s="23" t="s">
        <v>516</v>
      </c>
      <c r="AI40" t="s">
        <v>48</v>
      </c>
      <c r="AJ40" t="s">
        <v>449</v>
      </c>
      <c r="AK40" s="64" t="s">
        <v>513</v>
      </c>
      <c r="AL40" t="s">
        <v>434</v>
      </c>
      <c r="AM40" t="s">
        <v>519</v>
      </c>
    </row>
    <row r="41" spans="2:39" ht="16" x14ac:dyDescent="0.2">
      <c r="B41" s="3" t="s">
        <v>58</v>
      </c>
      <c r="C41">
        <v>60.92</v>
      </c>
      <c r="E41">
        <v>459</v>
      </c>
      <c r="F41" s="28"/>
      <c r="G41"/>
      <c r="H41"/>
      <c r="I41"/>
      <c r="K41"/>
      <c r="M41" s="13">
        <v>24.367999999999999</v>
      </c>
      <c r="N41" s="13"/>
      <c r="O41" s="13">
        <v>183.6</v>
      </c>
      <c r="P41" s="52"/>
      <c r="Q41" s="13"/>
      <c r="R41" s="13"/>
      <c r="S41" s="13"/>
      <c r="T41" s="18"/>
      <c r="U41" s="13"/>
      <c r="V41"/>
      <c r="W41" t="s">
        <v>31</v>
      </c>
      <c r="X41">
        <v>1</v>
      </c>
      <c r="Y41" t="s">
        <v>46</v>
      </c>
      <c r="Z41" t="s">
        <v>33</v>
      </c>
      <c r="AC41">
        <v>17.5</v>
      </c>
      <c r="AD41" s="5">
        <v>21667</v>
      </c>
      <c r="AE41">
        <v>2.1559999999999999E-3</v>
      </c>
      <c r="AH41" s="23" t="s">
        <v>59</v>
      </c>
      <c r="AI41" s="10" t="s">
        <v>60</v>
      </c>
      <c r="AJ41" t="s">
        <v>450</v>
      </c>
      <c r="AK41" s="64" t="s">
        <v>513</v>
      </c>
    </row>
    <row r="42" spans="2:39" ht="16" x14ac:dyDescent="0.2">
      <c r="B42" s="3" t="s">
        <v>61</v>
      </c>
      <c r="C42">
        <v>349.23</v>
      </c>
      <c r="F42" s="28"/>
      <c r="G42"/>
      <c r="H42"/>
      <c r="I42"/>
      <c r="K42">
        <v>82</v>
      </c>
      <c r="M42" s="13">
        <v>349.23</v>
      </c>
      <c r="N42" s="13"/>
      <c r="O42" s="13"/>
      <c r="P42" s="52"/>
      <c r="Q42" s="13"/>
      <c r="R42" s="13"/>
      <c r="S42" s="13"/>
      <c r="T42" s="18"/>
      <c r="U42" s="13"/>
      <c r="V42"/>
      <c r="W42" t="s">
        <v>31</v>
      </c>
      <c r="X42">
        <v>1</v>
      </c>
      <c r="Y42" t="s">
        <v>35</v>
      </c>
      <c r="Z42" t="s">
        <v>51</v>
      </c>
      <c r="AA42">
        <v>992.8</v>
      </c>
      <c r="AC42">
        <v>12</v>
      </c>
      <c r="AD42">
        <v>728</v>
      </c>
      <c r="AE42">
        <v>3.333E-3</v>
      </c>
      <c r="AF42">
        <v>39</v>
      </c>
      <c r="AH42" s="23" t="s">
        <v>62</v>
      </c>
      <c r="AI42" s="10" t="s">
        <v>63</v>
      </c>
      <c r="AJ42" t="s">
        <v>451</v>
      </c>
      <c r="AK42" s="64" t="s">
        <v>513</v>
      </c>
    </row>
    <row r="43" spans="2:39" ht="16" x14ac:dyDescent="0.2">
      <c r="B43" s="3" t="s">
        <v>238</v>
      </c>
      <c r="C43">
        <v>4.0999999999999996</v>
      </c>
      <c r="D43">
        <v>8.6</v>
      </c>
      <c r="E43">
        <v>28.3</v>
      </c>
      <c r="F43" s="28">
        <v>27.2</v>
      </c>
      <c r="G43">
        <f>C43+D43</f>
        <v>12.7</v>
      </c>
      <c r="H43">
        <f>E43+F43</f>
        <v>55.5</v>
      </c>
      <c r="I43">
        <f>C43+D43</f>
        <v>12.7</v>
      </c>
      <c r="J43" s="2">
        <f>E43+F43</f>
        <v>55.5</v>
      </c>
      <c r="K43"/>
      <c r="L43" s="2">
        <v>18</v>
      </c>
      <c r="M43" s="13">
        <v>4.0999999999999996</v>
      </c>
      <c r="N43" s="13">
        <v>8.6</v>
      </c>
      <c r="O43" s="13">
        <v>28.3</v>
      </c>
      <c r="P43" s="52">
        <v>27.2</v>
      </c>
      <c r="Q43" s="13">
        <v>12.7</v>
      </c>
      <c r="R43" s="13">
        <f>O43+P43</f>
        <v>55.5</v>
      </c>
      <c r="S43" s="13">
        <v>12.7</v>
      </c>
      <c r="T43" s="18">
        <v>55.5</v>
      </c>
      <c r="U43" s="13">
        <f>M43/N43</f>
        <v>0.47674418604651159</v>
      </c>
      <c r="V43" s="13">
        <f>O43/P43</f>
        <v>1.0404411764705883</v>
      </c>
      <c r="W43" t="s">
        <v>239</v>
      </c>
      <c r="Y43" t="s">
        <v>240</v>
      </c>
      <c r="Z43" t="s">
        <v>51</v>
      </c>
      <c r="AB43" s="2" t="s">
        <v>34</v>
      </c>
      <c r="AC43">
        <v>45</v>
      </c>
      <c r="AD43" s="5">
        <v>2175000</v>
      </c>
      <c r="AI43" s="10" t="s">
        <v>241</v>
      </c>
      <c r="AJ43" t="s">
        <v>453</v>
      </c>
      <c r="AK43" s="64" t="s">
        <v>513</v>
      </c>
    </row>
    <row r="44" spans="2:39" ht="16" x14ac:dyDescent="0.2">
      <c r="B44" s="3" t="s">
        <v>81</v>
      </c>
      <c r="F44" s="28"/>
      <c r="G44"/>
      <c r="H44"/>
      <c r="I44">
        <v>84.5</v>
      </c>
      <c r="J44" s="2">
        <v>1638.53</v>
      </c>
      <c r="K44"/>
      <c r="M44" s="13"/>
      <c r="N44" s="13"/>
      <c r="O44" s="13"/>
      <c r="P44" s="52"/>
      <c r="Q44" s="13"/>
      <c r="R44" s="13"/>
      <c r="S44" s="13">
        <f>84.5*0.4</f>
        <v>33.800000000000004</v>
      </c>
      <c r="T44" s="18">
        <f>1638.53*0.4</f>
        <v>655.41200000000003</v>
      </c>
      <c r="U44" s="13"/>
      <c r="V44"/>
      <c r="W44" t="s">
        <v>31</v>
      </c>
      <c r="X44">
        <v>4</v>
      </c>
      <c r="Y44" t="s">
        <v>46</v>
      </c>
      <c r="Z44" t="s">
        <v>35</v>
      </c>
      <c r="AB44" s="2" t="s">
        <v>35</v>
      </c>
      <c r="AC44">
        <v>12.7</v>
      </c>
      <c r="AD44" s="5">
        <v>6500</v>
      </c>
      <c r="AE44">
        <v>1.562E-3</v>
      </c>
      <c r="AF44">
        <v>38.200000000000003</v>
      </c>
      <c r="AH44" s="23" t="s">
        <v>516</v>
      </c>
      <c r="AI44" s="49" t="s">
        <v>82</v>
      </c>
      <c r="AJ44" s="64" t="s">
        <v>454</v>
      </c>
      <c r="AK44" s="64" t="s">
        <v>513</v>
      </c>
    </row>
    <row r="45" spans="2:39" ht="16" x14ac:dyDescent="0.2">
      <c r="B45" s="3" t="s">
        <v>160</v>
      </c>
      <c r="F45" s="28"/>
      <c r="G45"/>
      <c r="H45"/>
      <c r="I45">
        <v>26.03</v>
      </c>
      <c r="K45">
        <v>16</v>
      </c>
      <c r="L45" s="2">
        <v>103</v>
      </c>
      <c r="M45"/>
      <c r="N45"/>
      <c r="O45"/>
      <c r="P45" s="67"/>
      <c r="Q45"/>
      <c r="R45"/>
      <c r="S45">
        <f>26.03*0.4</f>
        <v>10.412000000000001</v>
      </c>
      <c r="U45" s="13"/>
      <c r="V45" s="13"/>
      <c r="W45" t="s">
        <v>161</v>
      </c>
      <c r="X45">
        <v>14</v>
      </c>
      <c r="Y45" t="s">
        <v>35</v>
      </c>
      <c r="Z45" t="s">
        <v>33</v>
      </c>
      <c r="AC45">
        <v>31.5</v>
      </c>
      <c r="AD45" s="5">
        <v>200000</v>
      </c>
      <c r="AE45">
        <v>1.678E-3</v>
      </c>
      <c r="AF45">
        <v>35.200000000000003</v>
      </c>
      <c r="AH45" s="23" t="s">
        <v>517</v>
      </c>
      <c r="AI45" s="10" t="s">
        <v>163</v>
      </c>
      <c r="AJ45" t="s">
        <v>455</v>
      </c>
      <c r="AK45" s="64" t="s">
        <v>513</v>
      </c>
    </row>
    <row r="46" spans="2:39" ht="16" x14ac:dyDescent="0.2">
      <c r="B46" s="3" t="s">
        <v>56</v>
      </c>
      <c r="F46" s="28"/>
      <c r="G46"/>
      <c r="H46"/>
      <c r="I46">
        <v>43.5</v>
      </c>
      <c r="J46" s="2">
        <v>245.8</v>
      </c>
      <c r="K46"/>
      <c r="M46" s="13"/>
      <c r="N46" s="13"/>
      <c r="O46" s="13"/>
      <c r="P46" s="52"/>
      <c r="Q46" s="13"/>
      <c r="R46" s="13"/>
      <c r="S46" s="13">
        <v>17.399999999999999</v>
      </c>
      <c r="T46" s="18">
        <v>98.32</v>
      </c>
      <c r="U46" s="13"/>
      <c r="V46"/>
      <c r="W46" t="s">
        <v>31</v>
      </c>
      <c r="X46">
        <v>1</v>
      </c>
      <c r="Y46" t="s">
        <v>46</v>
      </c>
      <c r="Z46" t="s">
        <v>33</v>
      </c>
      <c r="AC46">
        <v>42.3</v>
      </c>
      <c r="AD46" s="5">
        <v>215000</v>
      </c>
      <c r="AI46" s="10" t="s">
        <v>57</v>
      </c>
      <c r="AJ46" t="s">
        <v>457</v>
      </c>
      <c r="AK46" s="64" t="s">
        <v>513</v>
      </c>
    </row>
    <row r="47" spans="2:39" ht="16" x14ac:dyDescent="0.2">
      <c r="B47" s="3" t="s">
        <v>56</v>
      </c>
      <c r="F47" s="28"/>
      <c r="G47"/>
      <c r="H47"/>
      <c r="I47">
        <v>147.15</v>
      </c>
      <c r="J47" s="2">
        <v>333.35</v>
      </c>
      <c r="K47"/>
      <c r="M47" s="13"/>
      <c r="N47" s="13"/>
      <c r="O47" s="13"/>
      <c r="P47" s="52"/>
      <c r="Q47" s="13"/>
      <c r="R47" s="13"/>
      <c r="S47" s="13">
        <v>58.86</v>
      </c>
      <c r="T47" s="18">
        <v>133.34</v>
      </c>
      <c r="U47" s="13"/>
      <c r="V47"/>
      <c r="W47" t="s">
        <v>31</v>
      </c>
      <c r="X47">
        <v>5</v>
      </c>
      <c r="Y47" t="s">
        <v>46</v>
      </c>
      <c r="Z47" t="s">
        <v>33</v>
      </c>
      <c r="AC47">
        <v>42.3</v>
      </c>
      <c r="AD47" s="5">
        <v>215000</v>
      </c>
      <c r="AI47" t="s">
        <v>57</v>
      </c>
      <c r="AJ47" t="s">
        <v>457</v>
      </c>
      <c r="AK47" s="64" t="s">
        <v>513</v>
      </c>
    </row>
    <row r="48" spans="2:39" ht="16" x14ac:dyDescent="0.2">
      <c r="B48" s="3" t="s">
        <v>56</v>
      </c>
      <c r="F48" s="28"/>
      <c r="G48"/>
      <c r="H48"/>
      <c r="I48">
        <v>27</v>
      </c>
      <c r="J48" s="2">
        <v>109.7</v>
      </c>
      <c r="K48"/>
      <c r="M48" s="13"/>
      <c r="N48" s="13"/>
      <c r="O48" s="13"/>
      <c r="P48" s="52"/>
      <c r="Q48" s="13"/>
      <c r="R48" s="13"/>
      <c r="S48" s="13">
        <v>10.8</v>
      </c>
      <c r="T48" s="18">
        <v>43.88</v>
      </c>
      <c r="U48" s="13"/>
      <c r="V48"/>
      <c r="W48" t="s">
        <v>31</v>
      </c>
      <c r="X48">
        <v>5</v>
      </c>
      <c r="Y48" t="s">
        <v>46</v>
      </c>
      <c r="Z48" t="s">
        <v>33</v>
      </c>
      <c r="AB48"/>
      <c r="AC48" s="24">
        <v>42.3</v>
      </c>
      <c r="AD48" s="5">
        <v>215000</v>
      </c>
      <c r="AH48" s="23" t="s">
        <v>99</v>
      </c>
      <c r="AI48" t="s">
        <v>57</v>
      </c>
      <c r="AJ48" t="s">
        <v>457</v>
      </c>
      <c r="AK48" s="64" t="s">
        <v>513</v>
      </c>
    </row>
    <row r="49" spans="2:39" ht="16" x14ac:dyDescent="0.2">
      <c r="B49" s="3" t="s">
        <v>56</v>
      </c>
      <c r="F49" s="28"/>
      <c r="G49"/>
      <c r="H49"/>
      <c r="I49">
        <v>40.700000000000003</v>
      </c>
      <c r="J49" s="2">
        <v>171.5</v>
      </c>
      <c r="K49"/>
      <c r="M49" s="13"/>
      <c r="N49" s="13"/>
      <c r="O49" s="13"/>
      <c r="P49" s="52"/>
      <c r="Q49" s="13"/>
      <c r="R49" s="13"/>
      <c r="S49" s="13">
        <v>16.28</v>
      </c>
      <c r="T49" s="18">
        <v>68.599999999999994</v>
      </c>
      <c r="U49" s="13"/>
      <c r="V49" s="13"/>
      <c r="W49" t="s">
        <v>31</v>
      </c>
      <c r="X49">
        <v>11</v>
      </c>
      <c r="Y49" t="s">
        <v>46</v>
      </c>
      <c r="Z49" t="s">
        <v>33</v>
      </c>
      <c r="AC49">
        <v>42.3</v>
      </c>
      <c r="AD49" s="5">
        <v>215000</v>
      </c>
      <c r="AI49" t="s">
        <v>57</v>
      </c>
      <c r="AJ49" t="s">
        <v>457</v>
      </c>
      <c r="AK49" s="64" t="s">
        <v>513</v>
      </c>
    </row>
    <row r="50" spans="2:39" ht="16" x14ac:dyDescent="0.2">
      <c r="B50" s="20" t="s">
        <v>56</v>
      </c>
      <c r="C50">
        <v>6.3</v>
      </c>
      <c r="D50">
        <v>102.75</v>
      </c>
      <c r="E50">
        <v>19.2</v>
      </c>
      <c r="F50" s="28">
        <v>283.89999999999998</v>
      </c>
      <c r="G50">
        <f>C50+D50</f>
        <v>109.05</v>
      </c>
      <c r="H50">
        <f>E50+F50</f>
        <v>303.09999999999997</v>
      </c>
      <c r="I50">
        <f>C50+D50</f>
        <v>109.05</v>
      </c>
      <c r="J50" s="2">
        <f>E50+F50</f>
        <v>303.09999999999997</v>
      </c>
      <c r="K50"/>
      <c r="M50" s="13">
        <v>2.52</v>
      </c>
      <c r="N50" s="13">
        <v>41.1</v>
      </c>
      <c r="O50" s="13">
        <v>7.68</v>
      </c>
      <c r="P50" s="52">
        <v>113.56</v>
      </c>
      <c r="Q50" s="13">
        <v>43.62</v>
      </c>
      <c r="R50" s="13">
        <f>O50+P50</f>
        <v>121.24000000000001</v>
      </c>
      <c r="S50" s="13">
        <v>43.62</v>
      </c>
      <c r="T50" s="18">
        <v>121.24</v>
      </c>
      <c r="U50" s="13">
        <f>M50/N50</f>
        <v>6.1313868613138686E-2</v>
      </c>
      <c r="V50" s="13">
        <f>O50/P50</f>
        <v>6.7629446988376182E-2</v>
      </c>
      <c r="W50" t="s">
        <v>31</v>
      </c>
      <c r="X50" t="s">
        <v>198</v>
      </c>
      <c r="Y50" t="s">
        <v>46</v>
      </c>
      <c r="Z50" t="s">
        <v>33</v>
      </c>
      <c r="AC50">
        <v>42.3</v>
      </c>
      <c r="AD50" s="5">
        <v>215000</v>
      </c>
      <c r="AI50" t="s">
        <v>57</v>
      </c>
      <c r="AJ50" t="s">
        <v>457</v>
      </c>
      <c r="AK50" s="64" t="s">
        <v>513</v>
      </c>
    </row>
    <row r="51" spans="2:39" ht="16" x14ac:dyDescent="0.2">
      <c r="B51" s="3" t="s">
        <v>53</v>
      </c>
      <c r="F51" s="28"/>
      <c r="G51"/>
      <c r="H51"/>
      <c r="I51">
        <v>530</v>
      </c>
      <c r="J51" s="2">
        <v>4610</v>
      </c>
      <c r="K51"/>
      <c r="L51" s="2">
        <v>20</v>
      </c>
      <c r="M51" s="13"/>
      <c r="N51" s="13"/>
      <c r="O51" s="13"/>
      <c r="P51" s="52"/>
      <c r="Q51" s="13"/>
      <c r="R51" s="13"/>
      <c r="S51" s="13">
        <v>530</v>
      </c>
      <c r="T51" s="18">
        <v>4610</v>
      </c>
      <c r="U51" s="13"/>
      <c r="V51"/>
      <c r="W51" t="s">
        <v>31</v>
      </c>
      <c r="X51">
        <v>1</v>
      </c>
      <c r="Y51" t="s">
        <v>46</v>
      </c>
      <c r="Z51" t="s">
        <v>51</v>
      </c>
      <c r="AB51" t="s">
        <v>54</v>
      </c>
      <c r="AC51" s="24">
        <v>24.3</v>
      </c>
      <c r="AD51" s="5">
        <v>164500</v>
      </c>
      <c r="AE51">
        <v>1.1709999999999999E-3</v>
      </c>
      <c r="AF51">
        <v>38</v>
      </c>
      <c r="AI51" s="49" t="s">
        <v>55</v>
      </c>
      <c r="AJ51" s="64" t="s">
        <v>458</v>
      </c>
      <c r="AK51" s="64" t="s">
        <v>513</v>
      </c>
    </row>
    <row r="52" spans="2:39" ht="16" x14ac:dyDescent="0.2">
      <c r="B52" s="3" t="s">
        <v>53</v>
      </c>
      <c r="F52" s="28"/>
      <c r="G52"/>
      <c r="H52"/>
      <c r="I52">
        <v>1050</v>
      </c>
      <c r="J52" s="2">
        <v>4270</v>
      </c>
      <c r="K52"/>
      <c r="L52" s="2">
        <v>20</v>
      </c>
      <c r="M52" s="13"/>
      <c r="N52" s="13"/>
      <c r="O52" s="13"/>
      <c r="P52" s="52"/>
      <c r="Q52" s="13"/>
      <c r="R52" s="13"/>
      <c r="S52" s="13">
        <v>1050</v>
      </c>
      <c r="T52" s="18">
        <v>4270</v>
      </c>
      <c r="U52" s="13"/>
      <c r="V52"/>
      <c r="W52" t="s">
        <v>31</v>
      </c>
      <c r="X52">
        <v>4</v>
      </c>
      <c r="Y52" t="s">
        <v>46</v>
      </c>
      <c r="Z52" t="s">
        <v>51</v>
      </c>
      <c r="AB52" s="2" t="s">
        <v>54</v>
      </c>
      <c r="AC52">
        <v>24.3</v>
      </c>
      <c r="AD52" s="5">
        <v>164500</v>
      </c>
      <c r="AE52">
        <v>1.1709999999999999E-3</v>
      </c>
      <c r="AF52">
        <v>38</v>
      </c>
      <c r="AI52" s="49" t="s">
        <v>80</v>
      </c>
      <c r="AJ52" s="64" t="s">
        <v>458</v>
      </c>
      <c r="AK52" s="64" t="s">
        <v>513</v>
      </c>
    </row>
    <row r="53" spans="2:39" ht="16" x14ac:dyDescent="0.2">
      <c r="B53" s="3" t="s">
        <v>53</v>
      </c>
      <c r="F53" s="28"/>
      <c r="G53"/>
      <c r="H53"/>
      <c r="I53">
        <v>435</v>
      </c>
      <c r="J53" s="2">
        <v>1870</v>
      </c>
      <c r="K53"/>
      <c r="L53" s="2">
        <v>20</v>
      </c>
      <c r="M53" s="13"/>
      <c r="N53" s="13"/>
      <c r="O53" s="13"/>
      <c r="P53" s="52"/>
      <c r="Q53" s="13"/>
      <c r="R53" s="13"/>
      <c r="S53" s="13">
        <v>435</v>
      </c>
      <c r="T53" s="18">
        <v>1870</v>
      </c>
      <c r="U53" s="13"/>
      <c r="V53" s="13"/>
      <c r="W53" t="s">
        <v>31</v>
      </c>
      <c r="X53">
        <v>11</v>
      </c>
      <c r="Y53" t="s">
        <v>46</v>
      </c>
      <c r="Z53" t="s">
        <v>51</v>
      </c>
      <c r="AB53" s="2" t="s">
        <v>54</v>
      </c>
      <c r="AC53">
        <v>24.3</v>
      </c>
      <c r="AD53" s="5">
        <v>164500</v>
      </c>
      <c r="AE53">
        <v>1.1709999999999999E-3</v>
      </c>
      <c r="AF53">
        <v>38</v>
      </c>
      <c r="AI53" s="49" t="s">
        <v>146</v>
      </c>
      <c r="AJ53" s="64" t="s">
        <v>458</v>
      </c>
      <c r="AK53" s="64" t="s">
        <v>513</v>
      </c>
    </row>
    <row r="54" spans="2:39" ht="16" x14ac:dyDescent="0.2">
      <c r="B54" s="3" t="s">
        <v>53</v>
      </c>
      <c r="C54">
        <v>30</v>
      </c>
      <c r="D54">
        <v>640</v>
      </c>
      <c r="E54">
        <v>115</v>
      </c>
      <c r="F54" s="28">
        <v>1320</v>
      </c>
      <c r="G54">
        <f>C54+D54</f>
        <v>670</v>
      </c>
      <c r="H54">
        <f>E54+F54</f>
        <v>1435</v>
      </c>
      <c r="I54">
        <v>670</v>
      </c>
      <c r="J54" s="2">
        <v>1435</v>
      </c>
      <c r="K54"/>
      <c r="L54" s="2">
        <v>20</v>
      </c>
      <c r="M54" s="13">
        <v>30</v>
      </c>
      <c r="N54" s="13">
        <v>640</v>
      </c>
      <c r="O54" s="13">
        <v>115</v>
      </c>
      <c r="P54" s="52">
        <v>1320</v>
      </c>
      <c r="Q54" s="13">
        <v>670</v>
      </c>
      <c r="R54" s="13">
        <f>O54+P54</f>
        <v>1435</v>
      </c>
      <c r="S54" s="13">
        <v>670</v>
      </c>
      <c r="T54" s="18">
        <v>1435</v>
      </c>
      <c r="U54" s="13">
        <f>M54/N54</f>
        <v>4.6875E-2</v>
      </c>
      <c r="V54" s="13">
        <f>O54/P54</f>
        <v>8.7121212121212127E-2</v>
      </c>
      <c r="W54" t="s">
        <v>31</v>
      </c>
      <c r="X54" t="s">
        <v>198</v>
      </c>
      <c r="Y54" t="s">
        <v>46</v>
      </c>
      <c r="Z54" t="s">
        <v>51</v>
      </c>
      <c r="AB54" s="2" t="s">
        <v>54</v>
      </c>
      <c r="AC54">
        <v>24.3</v>
      </c>
      <c r="AD54" s="5">
        <v>164500</v>
      </c>
      <c r="AE54">
        <v>1.1709999999999999E-3</v>
      </c>
      <c r="AF54">
        <v>38</v>
      </c>
      <c r="AH54" s="23" t="s">
        <v>199</v>
      </c>
      <c r="AI54" s="49" t="s">
        <v>200</v>
      </c>
      <c r="AJ54" s="64" t="s">
        <v>458</v>
      </c>
      <c r="AK54" s="64" t="s">
        <v>513</v>
      </c>
    </row>
    <row r="55" spans="2:39" ht="16" x14ac:dyDescent="0.2">
      <c r="B55" s="3" t="s">
        <v>188</v>
      </c>
      <c r="C55">
        <v>43.75</v>
      </c>
      <c r="E55">
        <v>744.95</v>
      </c>
      <c r="F55" s="28"/>
      <c r="G55"/>
      <c r="H55"/>
      <c r="I55"/>
      <c r="K55"/>
      <c r="M55" s="13">
        <v>17.5</v>
      </c>
      <c r="N55" s="13"/>
      <c r="O55" s="13">
        <v>297.98</v>
      </c>
      <c r="P55" s="52"/>
      <c r="Q55" s="13"/>
      <c r="R55" s="13"/>
      <c r="S55" s="13"/>
      <c r="T55" s="18"/>
      <c r="U55" s="13"/>
      <c r="V55" s="13"/>
      <c r="W55" t="s">
        <v>31</v>
      </c>
      <c r="X55">
        <v>15</v>
      </c>
      <c r="Y55" t="s">
        <v>46</v>
      </c>
      <c r="Z55" t="s">
        <v>33</v>
      </c>
      <c r="AB55" s="2" t="s">
        <v>34</v>
      </c>
      <c r="AC55">
        <v>41.1</v>
      </c>
      <c r="AD55" s="5">
        <v>63000</v>
      </c>
      <c r="AG55" t="s">
        <v>35</v>
      </c>
      <c r="AH55" t="s">
        <v>189</v>
      </c>
      <c r="AI55" s="10" t="s">
        <v>190</v>
      </c>
      <c r="AJ55" t="s">
        <v>459</v>
      </c>
      <c r="AK55" s="64" t="s">
        <v>513</v>
      </c>
    </row>
    <row r="56" spans="2:39" ht="16" x14ac:dyDescent="0.2">
      <c r="B56" s="3" t="s">
        <v>137</v>
      </c>
      <c r="C56">
        <v>49.643599999999999</v>
      </c>
      <c r="F56" s="28"/>
      <c r="G56"/>
      <c r="H56"/>
      <c r="I56"/>
      <c r="K56">
        <v>23</v>
      </c>
      <c r="M56" s="13">
        <v>49.643599999999999</v>
      </c>
      <c r="N56" s="13"/>
      <c r="O56" s="13"/>
      <c r="P56" s="52"/>
      <c r="Q56" s="13"/>
      <c r="R56" s="13"/>
      <c r="S56" s="13"/>
      <c r="T56" s="18"/>
      <c r="U56" s="13"/>
      <c r="V56" s="13"/>
      <c r="W56" t="s">
        <v>31</v>
      </c>
      <c r="X56" t="s">
        <v>138</v>
      </c>
      <c r="Y56" t="s">
        <v>35</v>
      </c>
      <c r="Z56" t="s">
        <v>51</v>
      </c>
      <c r="AB56" s="2" t="s">
        <v>34</v>
      </c>
      <c r="AC56">
        <v>79.599999999999994</v>
      </c>
      <c r="AD56" s="5">
        <v>3178000</v>
      </c>
      <c r="AE56">
        <v>6.3599999999999996E-4</v>
      </c>
      <c r="AF56">
        <v>35.799999999999997</v>
      </c>
      <c r="AH56" s="23" t="s">
        <v>139</v>
      </c>
      <c r="AI56" s="10" t="s">
        <v>140</v>
      </c>
      <c r="AJ56" t="s">
        <v>460</v>
      </c>
      <c r="AK56" s="64" t="s">
        <v>513</v>
      </c>
    </row>
    <row r="57" spans="2:39" ht="16" x14ac:dyDescent="0.2">
      <c r="B57" s="3" t="s">
        <v>141</v>
      </c>
      <c r="F57" s="28"/>
      <c r="G57"/>
      <c r="H57"/>
      <c r="I57">
        <v>126.7</v>
      </c>
      <c r="K57">
        <v>23</v>
      </c>
      <c r="M57" s="13"/>
      <c r="N57" s="13"/>
      <c r="O57" s="13"/>
      <c r="P57" s="52"/>
      <c r="Q57" s="13"/>
      <c r="R57" s="13"/>
      <c r="S57" s="13">
        <v>126.7</v>
      </c>
      <c r="T57" s="18"/>
      <c r="U57" s="13"/>
      <c r="V57" s="13"/>
      <c r="W57" t="s">
        <v>31</v>
      </c>
      <c r="X57">
        <v>10</v>
      </c>
      <c r="Y57" t="s">
        <v>35</v>
      </c>
      <c r="Z57" t="s">
        <v>51</v>
      </c>
      <c r="AB57" s="2" t="s">
        <v>84</v>
      </c>
      <c r="AC57">
        <v>79.599999999999994</v>
      </c>
      <c r="AD57" s="5">
        <v>3178000</v>
      </c>
      <c r="AE57">
        <v>6.3599999999999996E-4</v>
      </c>
      <c r="AF57">
        <v>35.799999999999997</v>
      </c>
      <c r="AH57" s="23" t="s">
        <v>142</v>
      </c>
      <c r="AI57" s="49" t="s">
        <v>143</v>
      </c>
      <c r="AJ57" s="64" t="s">
        <v>461</v>
      </c>
      <c r="AK57" s="64" t="s">
        <v>513</v>
      </c>
    </row>
    <row r="58" spans="2:39" ht="16" x14ac:dyDescent="0.2">
      <c r="B58" s="3" t="s">
        <v>250</v>
      </c>
      <c r="F58" s="28"/>
      <c r="G58"/>
      <c r="H58"/>
      <c r="I58">
        <v>24.02</v>
      </c>
      <c r="J58" s="2">
        <v>33.51</v>
      </c>
      <c r="K58">
        <v>26</v>
      </c>
      <c r="L58" s="2">
        <v>41</v>
      </c>
      <c r="M58" s="13"/>
      <c r="N58" s="13"/>
      <c r="O58" s="13"/>
      <c r="P58" s="52"/>
      <c r="Q58" s="13"/>
      <c r="R58" s="13"/>
      <c r="S58" s="13">
        <v>24.02</v>
      </c>
      <c r="T58" s="18">
        <v>33.51</v>
      </c>
      <c r="U58" s="13"/>
      <c r="V58" s="13"/>
      <c r="W58" t="s">
        <v>154</v>
      </c>
      <c r="Y58" t="s">
        <v>157</v>
      </c>
      <c r="Z58" t="s">
        <v>51</v>
      </c>
      <c r="AB58"/>
      <c r="AC58" s="24">
        <v>57</v>
      </c>
      <c r="AD58" s="5">
        <v>444900</v>
      </c>
      <c r="AE58">
        <v>8.1499999999999997E-4</v>
      </c>
      <c r="AG58" s="2">
        <v>65000</v>
      </c>
      <c r="AH58" s="23" t="s">
        <v>251</v>
      </c>
      <c r="AI58" s="49" t="s">
        <v>252</v>
      </c>
      <c r="AJ58" s="64" t="s">
        <v>462</v>
      </c>
      <c r="AK58" s="64" t="s">
        <v>513</v>
      </c>
    </row>
    <row r="59" spans="2:39" ht="17" customHeight="1" x14ac:dyDescent="0.2">
      <c r="B59" s="3" t="s">
        <v>253</v>
      </c>
      <c r="D59">
        <v>16.2</v>
      </c>
      <c r="F59" s="28">
        <v>25.1</v>
      </c>
      <c r="G59"/>
      <c r="H59"/>
      <c r="I59"/>
      <c r="K59"/>
      <c r="L59" s="2">
        <v>299</v>
      </c>
      <c r="M59" s="13"/>
      <c r="N59" s="13">
        <v>16.2</v>
      </c>
      <c r="O59" s="13"/>
      <c r="P59" s="52">
        <v>25.1</v>
      </c>
      <c r="Q59" s="13"/>
      <c r="R59" s="13"/>
      <c r="S59" s="13"/>
      <c r="T59" s="18"/>
      <c r="U59" s="13"/>
      <c r="V59" s="13"/>
      <c r="W59" t="s">
        <v>154</v>
      </c>
      <c r="Y59" t="s">
        <v>157</v>
      </c>
      <c r="Z59" t="s">
        <v>51</v>
      </c>
      <c r="AB59" s="2" t="s">
        <v>34</v>
      </c>
      <c r="AC59">
        <v>31</v>
      </c>
      <c r="AD59" s="5">
        <v>384000</v>
      </c>
      <c r="AI59" s="10" t="s">
        <v>254</v>
      </c>
      <c r="AJ59" t="s">
        <v>463</v>
      </c>
      <c r="AK59" s="64" t="s">
        <v>513</v>
      </c>
    </row>
    <row r="60" spans="2:39" ht="16" x14ac:dyDescent="0.2">
      <c r="B60" s="3" t="s">
        <v>219</v>
      </c>
      <c r="C60">
        <v>213.6</v>
      </c>
      <c r="D60">
        <v>354.7</v>
      </c>
      <c r="E60">
        <v>384.6</v>
      </c>
      <c r="F60" s="28">
        <v>544.5</v>
      </c>
      <c r="G60">
        <f>C60+D60</f>
        <v>568.29999999999995</v>
      </c>
      <c r="H60">
        <f>E60+F60</f>
        <v>929.1</v>
      </c>
      <c r="I60">
        <f>C60+D60</f>
        <v>568.29999999999995</v>
      </c>
      <c r="J60" s="2">
        <f>E60+F60</f>
        <v>929.1</v>
      </c>
      <c r="K60"/>
      <c r="M60" s="13">
        <v>213.6</v>
      </c>
      <c r="N60" s="13">
        <v>354.7</v>
      </c>
      <c r="O60" s="13">
        <v>384.6</v>
      </c>
      <c r="P60" s="52">
        <v>544.5</v>
      </c>
      <c r="Q60" s="13">
        <v>568.29999999999995</v>
      </c>
      <c r="R60" s="13">
        <f>O60+P60</f>
        <v>929.1</v>
      </c>
      <c r="S60" s="13">
        <v>568.29999999999995</v>
      </c>
      <c r="T60" s="18">
        <v>929.1</v>
      </c>
      <c r="U60" s="13">
        <f>M60/N60</f>
        <v>0.60219904144347336</v>
      </c>
      <c r="V60" s="13">
        <f>O60/P60</f>
        <v>0.70633608815426996</v>
      </c>
      <c r="W60" t="s">
        <v>215</v>
      </c>
      <c r="X60" t="s">
        <v>216</v>
      </c>
      <c r="Y60" t="s">
        <v>217</v>
      </c>
      <c r="Z60" t="s">
        <v>51</v>
      </c>
      <c r="AB60" s="2" t="s">
        <v>34</v>
      </c>
      <c r="AC60">
        <v>30</v>
      </c>
      <c r="AD60" s="5">
        <v>3900</v>
      </c>
      <c r="AE60">
        <v>2.47E-3</v>
      </c>
      <c r="AF60">
        <v>38.1</v>
      </c>
      <c r="AI60" s="49" t="s">
        <v>218</v>
      </c>
      <c r="AJ60" s="64" t="s">
        <v>443</v>
      </c>
      <c r="AK60" s="64" t="s">
        <v>513</v>
      </c>
      <c r="AL60" t="s">
        <v>433</v>
      </c>
      <c r="AM60" t="s">
        <v>521</v>
      </c>
    </row>
    <row r="61" spans="2:39" ht="16" x14ac:dyDescent="0.2">
      <c r="B61" s="3" t="s">
        <v>125</v>
      </c>
      <c r="D61">
        <v>1743.1</v>
      </c>
      <c r="F61" s="28"/>
      <c r="G61"/>
      <c r="H61"/>
      <c r="I61"/>
      <c r="K61"/>
      <c r="M61" s="13"/>
      <c r="N61" s="13">
        <v>1743.1</v>
      </c>
      <c r="O61" s="13"/>
      <c r="P61" s="52"/>
      <c r="Q61" s="13"/>
      <c r="R61" s="13"/>
      <c r="S61" s="13"/>
      <c r="T61" s="18"/>
      <c r="U61" s="13"/>
      <c r="V61" s="13"/>
      <c r="W61" t="s">
        <v>31</v>
      </c>
      <c r="X61">
        <v>10</v>
      </c>
      <c r="Y61" t="s">
        <v>46</v>
      </c>
      <c r="Z61" t="s">
        <v>51</v>
      </c>
      <c r="AB61" s="2" t="s">
        <v>126</v>
      </c>
      <c r="AC61"/>
      <c r="AD61" s="5">
        <v>20.87</v>
      </c>
      <c r="AH61" s="23" t="s">
        <v>127</v>
      </c>
      <c r="AI61" s="49" t="s">
        <v>128</v>
      </c>
      <c r="AJ61" s="64" t="s">
        <v>466</v>
      </c>
      <c r="AK61" s="64" t="s">
        <v>513</v>
      </c>
    </row>
    <row r="62" spans="2:39" ht="16" x14ac:dyDescent="0.2">
      <c r="B62" s="3" t="s">
        <v>129</v>
      </c>
      <c r="D62">
        <v>2842.33</v>
      </c>
      <c r="F62" s="28"/>
      <c r="G62"/>
      <c r="H62"/>
      <c r="I62"/>
      <c r="K62"/>
      <c r="M62" s="13"/>
      <c r="N62" s="13">
        <v>2842.33</v>
      </c>
      <c r="O62" s="13"/>
      <c r="P62" s="52"/>
      <c r="Q62" s="13"/>
      <c r="R62" s="13"/>
      <c r="S62" s="13"/>
      <c r="T62" s="18"/>
      <c r="U62" s="13"/>
      <c r="V62" s="13"/>
      <c r="W62" t="s">
        <v>31</v>
      </c>
      <c r="X62">
        <v>10</v>
      </c>
      <c r="Y62" t="s">
        <v>46</v>
      </c>
      <c r="Z62" t="s">
        <v>51</v>
      </c>
      <c r="AB62" s="2" t="s">
        <v>126</v>
      </c>
      <c r="AC62">
        <v>5.9</v>
      </c>
      <c r="AD62" s="5">
        <v>30</v>
      </c>
      <c r="AE62">
        <v>7.9799999999999992E-3</v>
      </c>
      <c r="AF62">
        <v>37.200000000000003</v>
      </c>
      <c r="AH62" s="23" t="s">
        <v>130</v>
      </c>
      <c r="AI62" s="49" t="s">
        <v>128</v>
      </c>
      <c r="AJ62" s="64" t="s">
        <v>466</v>
      </c>
      <c r="AK62" s="64" t="s">
        <v>513</v>
      </c>
    </row>
    <row r="63" spans="2:39" ht="16" x14ac:dyDescent="0.2">
      <c r="B63" s="3" t="s">
        <v>131</v>
      </c>
      <c r="D63">
        <v>1711.28</v>
      </c>
      <c r="F63" s="28"/>
      <c r="G63"/>
      <c r="H63"/>
      <c r="I63"/>
      <c r="K63"/>
      <c r="M63" s="13"/>
      <c r="N63" s="13">
        <v>1711.28</v>
      </c>
      <c r="O63" s="13"/>
      <c r="P63" s="52"/>
      <c r="Q63" s="13"/>
      <c r="R63" s="13"/>
      <c r="S63" s="13"/>
      <c r="T63" s="18"/>
      <c r="U63" s="13"/>
      <c r="V63" s="13"/>
      <c r="W63" t="s">
        <v>31</v>
      </c>
      <c r="X63">
        <v>10</v>
      </c>
      <c r="Y63" t="s">
        <v>46</v>
      </c>
      <c r="Z63" t="s">
        <v>51</v>
      </c>
      <c r="AB63" s="2" t="s">
        <v>126</v>
      </c>
      <c r="AC63">
        <v>8.1999999999999993</v>
      </c>
      <c r="AD63" s="5">
        <v>37</v>
      </c>
      <c r="AE63">
        <v>4.1840000000000002E-3</v>
      </c>
      <c r="AF63">
        <v>36.1</v>
      </c>
      <c r="AH63" s="23" t="s">
        <v>130</v>
      </c>
      <c r="AI63" t="s">
        <v>128</v>
      </c>
      <c r="AJ63" t="s">
        <v>466</v>
      </c>
      <c r="AK63" s="64" t="s">
        <v>513</v>
      </c>
    </row>
    <row r="64" spans="2:39" ht="16" x14ac:dyDescent="0.2">
      <c r="B64" s="3" t="s">
        <v>207</v>
      </c>
      <c r="C64">
        <v>23.725000000000001</v>
      </c>
      <c r="D64">
        <v>64.758300000000006</v>
      </c>
      <c r="E64">
        <v>49.3</v>
      </c>
      <c r="F64" s="28">
        <v>178.8</v>
      </c>
      <c r="G64">
        <f>C64+D64</f>
        <v>88.483300000000014</v>
      </c>
      <c r="H64">
        <f>E64+F64</f>
        <v>228.10000000000002</v>
      </c>
      <c r="I64">
        <v>88.4833</v>
      </c>
      <c r="J64" s="2">
        <v>228.1</v>
      </c>
      <c r="K64"/>
      <c r="L64" s="2">
        <v>45</v>
      </c>
      <c r="M64" s="13">
        <v>23.725000000000001</v>
      </c>
      <c r="N64" s="13">
        <v>64.758300000000006</v>
      </c>
      <c r="O64" s="13">
        <v>49.3</v>
      </c>
      <c r="P64" s="52">
        <v>178.8</v>
      </c>
      <c r="Q64" s="13">
        <v>88.4833</v>
      </c>
      <c r="R64" s="13">
        <f>O64+P64</f>
        <v>228.10000000000002</v>
      </c>
      <c r="S64" s="13">
        <v>88.4833</v>
      </c>
      <c r="T64" s="18">
        <v>228.1</v>
      </c>
      <c r="U64" s="13">
        <f>M64/N64</f>
        <v>0.36636230413707588</v>
      </c>
      <c r="V64" s="13">
        <f>O64/P64</f>
        <v>0.27572706935123037</v>
      </c>
      <c r="W64" t="s">
        <v>31</v>
      </c>
      <c r="X64" t="s">
        <v>204</v>
      </c>
      <c r="Y64" t="s">
        <v>46</v>
      </c>
      <c r="Z64" t="s">
        <v>51</v>
      </c>
      <c r="AB64" s="2" t="s">
        <v>84</v>
      </c>
      <c r="AC64">
        <v>39.5</v>
      </c>
      <c r="AD64" s="5">
        <v>800000</v>
      </c>
      <c r="AE64">
        <v>8.7399999999999999E-4</v>
      </c>
      <c r="AF64">
        <v>37.1</v>
      </c>
      <c r="AH64" s="23" t="s">
        <v>208</v>
      </c>
      <c r="AI64" s="10" t="s">
        <v>209</v>
      </c>
      <c r="AJ64" t="s">
        <v>467</v>
      </c>
      <c r="AK64" s="64" t="s">
        <v>513</v>
      </c>
    </row>
    <row r="65" spans="2:37" ht="16" x14ac:dyDescent="0.2">
      <c r="B65" s="3" t="s">
        <v>49</v>
      </c>
      <c r="C65">
        <v>1054</v>
      </c>
      <c r="E65" s="5">
        <v>11130</v>
      </c>
      <c r="F65" s="28"/>
      <c r="G65"/>
      <c r="H65"/>
      <c r="I65"/>
      <c r="K65">
        <v>22</v>
      </c>
      <c r="L65" s="2">
        <v>268</v>
      </c>
      <c r="M65" s="13">
        <v>1054</v>
      </c>
      <c r="N65" s="13"/>
      <c r="O65" s="19"/>
      <c r="P65" s="52"/>
      <c r="Q65" s="13"/>
      <c r="R65" s="13"/>
      <c r="S65" s="13"/>
      <c r="T65" s="18"/>
      <c r="U65" s="13"/>
      <c r="V65"/>
      <c r="W65" t="s">
        <v>31</v>
      </c>
      <c r="X65">
        <v>1</v>
      </c>
      <c r="Y65" t="s">
        <v>46</v>
      </c>
      <c r="Z65" t="s">
        <v>51</v>
      </c>
      <c r="AA65">
        <v>1500</v>
      </c>
      <c r="AB65" s="2" t="s">
        <v>34</v>
      </c>
      <c r="AC65"/>
      <c r="AD65" s="5">
        <v>1600</v>
      </c>
      <c r="AE65">
        <v>4.1840000000000002E-3</v>
      </c>
      <c r="AF65">
        <v>39.799999999999997</v>
      </c>
      <c r="AI65" s="10" t="s">
        <v>52</v>
      </c>
      <c r="AJ65" t="s">
        <v>470</v>
      </c>
      <c r="AK65" s="64" t="s">
        <v>513</v>
      </c>
    </row>
    <row r="66" spans="2:37" ht="16" x14ac:dyDescent="0.2">
      <c r="B66" s="29" t="s">
        <v>74</v>
      </c>
      <c r="F66" s="28"/>
      <c r="G66"/>
      <c r="H66"/>
      <c r="I66">
        <v>54.6</v>
      </c>
      <c r="J66" s="2">
        <v>88.2</v>
      </c>
      <c r="K66"/>
      <c r="M66" s="13"/>
      <c r="N66" s="13"/>
      <c r="O66" s="13"/>
      <c r="P66" s="52"/>
      <c r="Q66" s="13"/>
      <c r="R66" s="13"/>
      <c r="S66" s="13">
        <v>54.6</v>
      </c>
      <c r="T66" s="18">
        <v>88.2</v>
      </c>
      <c r="U66" s="13"/>
      <c r="V66"/>
      <c r="W66" t="s">
        <v>31</v>
      </c>
      <c r="X66">
        <v>4</v>
      </c>
      <c r="Y66" t="s">
        <v>46</v>
      </c>
      <c r="Z66" t="s">
        <v>51</v>
      </c>
      <c r="AB66" s="2" t="s">
        <v>34</v>
      </c>
      <c r="AC66">
        <v>18</v>
      </c>
      <c r="AD66" s="5">
        <v>4175</v>
      </c>
      <c r="AE66">
        <v>2.8010000000000001E-3</v>
      </c>
      <c r="AF66">
        <v>39.700000000000003</v>
      </c>
      <c r="AG66"/>
      <c r="AH66" s="23" t="s">
        <v>75</v>
      </c>
      <c r="AI66" s="10" t="s">
        <v>76</v>
      </c>
      <c r="AJ66" t="s">
        <v>471</v>
      </c>
      <c r="AK66" s="64" t="s">
        <v>513</v>
      </c>
    </row>
    <row r="67" spans="2:37" ht="16" x14ac:dyDescent="0.2">
      <c r="B67" s="29" t="s">
        <v>74</v>
      </c>
      <c r="F67" s="28"/>
      <c r="G67"/>
      <c r="H67"/>
      <c r="I67">
        <v>66.599999999999994</v>
      </c>
      <c r="J67" s="2">
        <v>136.80000000000001</v>
      </c>
      <c r="K67"/>
      <c r="M67" s="13"/>
      <c r="N67" s="13"/>
      <c r="O67" s="13"/>
      <c r="P67" s="52"/>
      <c r="Q67" s="13"/>
      <c r="R67" s="13"/>
      <c r="S67" s="13">
        <v>66.599999999999994</v>
      </c>
      <c r="T67" s="18">
        <v>136.80000000000001</v>
      </c>
      <c r="U67" s="13"/>
      <c r="V67" s="13"/>
      <c r="W67" t="s">
        <v>31</v>
      </c>
      <c r="X67">
        <v>11</v>
      </c>
      <c r="Y67" t="s">
        <v>46</v>
      </c>
      <c r="Z67" t="s">
        <v>51</v>
      </c>
      <c r="AB67" s="2" t="s">
        <v>34</v>
      </c>
      <c r="AC67">
        <v>18</v>
      </c>
      <c r="AD67" s="5">
        <v>4175</v>
      </c>
      <c r="AE67">
        <v>2.8010000000000001E-3</v>
      </c>
      <c r="AF67">
        <v>39.700000000000003</v>
      </c>
      <c r="AH67" s="23" t="s">
        <v>75</v>
      </c>
      <c r="AI67" t="s">
        <v>76</v>
      </c>
      <c r="AJ67" t="s">
        <v>471</v>
      </c>
      <c r="AK67" s="64" t="s">
        <v>513</v>
      </c>
    </row>
    <row r="68" spans="2:37" ht="16" x14ac:dyDescent="0.2">
      <c r="B68" s="3" t="s">
        <v>191</v>
      </c>
      <c r="F68" s="28"/>
      <c r="G68"/>
      <c r="H68"/>
      <c r="I68">
        <v>332</v>
      </c>
      <c r="K68">
        <v>5</v>
      </c>
      <c r="L68" s="2">
        <v>86</v>
      </c>
      <c r="M68" s="13"/>
      <c r="N68" s="13"/>
      <c r="O68" s="13"/>
      <c r="P68" s="52"/>
      <c r="Q68" s="13"/>
      <c r="R68" s="13"/>
      <c r="S68" s="13">
        <v>332</v>
      </c>
      <c r="T68" s="18"/>
      <c r="U68" s="13"/>
      <c r="V68" s="13"/>
      <c r="W68" t="s">
        <v>31</v>
      </c>
      <c r="X68">
        <v>4</v>
      </c>
      <c r="Y68" t="s">
        <v>35</v>
      </c>
      <c r="Z68" t="s">
        <v>51</v>
      </c>
      <c r="AB68" s="2" t="s">
        <v>34</v>
      </c>
      <c r="AC68">
        <v>65</v>
      </c>
      <c r="AD68">
        <v>3940034</v>
      </c>
      <c r="AE68">
        <v>8.9999999999999998E-4</v>
      </c>
      <c r="AF68">
        <v>36.200000000000003</v>
      </c>
      <c r="AG68" s="2" t="s">
        <v>35</v>
      </c>
      <c r="AH68" s="23" t="s">
        <v>192</v>
      </c>
      <c r="AI68" s="49" t="s">
        <v>193</v>
      </c>
      <c r="AJ68" s="64" t="s">
        <v>472</v>
      </c>
      <c r="AK68" s="64" t="s">
        <v>513</v>
      </c>
    </row>
    <row r="69" spans="2:37" ht="16" x14ac:dyDescent="0.2">
      <c r="B69" s="3" t="s">
        <v>167</v>
      </c>
      <c r="F69" s="28"/>
      <c r="G69"/>
      <c r="H69"/>
      <c r="I69">
        <v>267.75</v>
      </c>
      <c r="J69" s="2">
        <v>4446</v>
      </c>
      <c r="K69">
        <v>41</v>
      </c>
      <c r="L69" s="2">
        <v>121</v>
      </c>
      <c r="M69" s="13"/>
      <c r="N69" s="13"/>
      <c r="O69" s="13"/>
      <c r="P69" s="52"/>
      <c r="Q69" s="13"/>
      <c r="R69" s="13"/>
      <c r="S69" s="13">
        <v>267.75</v>
      </c>
      <c r="T69" s="13">
        <v>4446</v>
      </c>
      <c r="U69" s="13"/>
      <c r="V69" s="13"/>
      <c r="W69" s="24" t="s">
        <v>168</v>
      </c>
      <c r="X69">
        <v>14</v>
      </c>
      <c r="Y69" t="s">
        <v>46</v>
      </c>
      <c r="Z69" t="s">
        <v>51</v>
      </c>
      <c r="AB69" s="2" t="s">
        <v>169</v>
      </c>
      <c r="AC69" s="24">
        <v>17</v>
      </c>
      <c r="AD69" s="5">
        <v>26500</v>
      </c>
      <c r="AE69">
        <v>3.7729999999999999E-3</v>
      </c>
      <c r="AH69" s="23" t="s">
        <v>170</v>
      </c>
      <c r="AI69" s="10" t="s">
        <v>171</v>
      </c>
      <c r="AJ69" t="s">
        <v>473</v>
      </c>
      <c r="AK69" s="64" t="s">
        <v>513</v>
      </c>
    </row>
    <row r="70" spans="2:37" ht="16" x14ac:dyDescent="0.2">
      <c r="B70" s="3" t="s">
        <v>259</v>
      </c>
      <c r="D70">
        <v>132</v>
      </c>
      <c r="F70" s="28">
        <v>4417</v>
      </c>
      <c r="G70"/>
      <c r="H70"/>
      <c r="I70"/>
      <c r="K70"/>
      <c r="M70" s="13"/>
      <c r="N70" s="13">
        <v>132</v>
      </c>
      <c r="O70" s="13"/>
      <c r="P70" s="52">
        <v>4417</v>
      </c>
      <c r="Q70" s="13"/>
      <c r="R70" s="13"/>
      <c r="S70" s="13"/>
      <c r="T70" s="13"/>
      <c r="U70" s="13"/>
      <c r="V70" s="13"/>
      <c r="W70" s="24" t="s">
        <v>154</v>
      </c>
      <c r="Y70" t="s">
        <v>46</v>
      </c>
      <c r="Z70" t="s">
        <v>51</v>
      </c>
      <c r="AB70" s="2" t="s">
        <v>260</v>
      </c>
      <c r="AC70" s="24">
        <v>21.2</v>
      </c>
      <c r="AD70" s="5">
        <v>3500</v>
      </c>
      <c r="AE70">
        <v>2.0079999999999998E-3</v>
      </c>
      <c r="AF70">
        <v>36.5</v>
      </c>
      <c r="AH70" s="23" t="s">
        <v>261</v>
      </c>
      <c r="AI70" s="10" t="s">
        <v>262</v>
      </c>
      <c r="AJ70" t="s">
        <v>475</v>
      </c>
      <c r="AK70" s="64" t="s">
        <v>513</v>
      </c>
    </row>
    <row r="71" spans="2:37" ht="16" x14ac:dyDescent="0.2">
      <c r="B71" s="3" t="s">
        <v>83</v>
      </c>
      <c r="F71" s="28"/>
      <c r="G71"/>
      <c r="H71"/>
      <c r="I71">
        <v>181.5</v>
      </c>
      <c r="J71" s="2">
        <v>770.5</v>
      </c>
      <c r="K71"/>
      <c r="M71" s="13"/>
      <c r="N71" s="13"/>
      <c r="O71" s="13"/>
      <c r="P71" s="52"/>
      <c r="Q71" s="13"/>
      <c r="R71" s="13"/>
      <c r="S71" s="13">
        <v>181.5</v>
      </c>
      <c r="T71" s="13">
        <v>770.5</v>
      </c>
      <c r="U71" s="13"/>
      <c r="V71"/>
      <c r="W71" s="24" t="s">
        <v>31</v>
      </c>
      <c r="X71">
        <v>4</v>
      </c>
      <c r="Y71" t="s">
        <v>46</v>
      </c>
      <c r="Z71" t="s">
        <v>51</v>
      </c>
      <c r="AB71" s="2" t="s">
        <v>84</v>
      </c>
      <c r="AC71" s="24">
        <v>14.8</v>
      </c>
      <c r="AD71" s="5">
        <v>17000</v>
      </c>
      <c r="AI71" s="10" t="s">
        <v>85</v>
      </c>
      <c r="AJ71" t="s">
        <v>442</v>
      </c>
      <c r="AK71" s="64" t="s">
        <v>513</v>
      </c>
    </row>
    <row r="72" spans="2:37" ht="16" x14ac:dyDescent="0.2">
      <c r="B72" s="3" t="s">
        <v>220</v>
      </c>
      <c r="C72">
        <v>48.7</v>
      </c>
      <c r="D72">
        <v>64.099999999999994</v>
      </c>
      <c r="E72">
        <v>1428.8</v>
      </c>
      <c r="F72" s="28">
        <v>666.5</v>
      </c>
      <c r="G72">
        <f>C72+D72</f>
        <v>112.8</v>
      </c>
      <c r="H72">
        <f>E72+F72</f>
        <v>2095.3000000000002</v>
      </c>
      <c r="I72">
        <f>C72+D72</f>
        <v>112.8</v>
      </c>
      <c r="J72" s="2">
        <f>E72+F72</f>
        <v>2095.3000000000002</v>
      </c>
      <c r="K72"/>
      <c r="M72" s="13">
        <v>48.7</v>
      </c>
      <c r="N72" s="13">
        <v>64.099999999999994</v>
      </c>
      <c r="O72" s="13">
        <v>1428.8</v>
      </c>
      <c r="P72" s="52">
        <v>666.5</v>
      </c>
      <c r="Q72" s="13">
        <v>112.8</v>
      </c>
      <c r="R72" s="13">
        <f>O72+P72</f>
        <v>2095.3000000000002</v>
      </c>
      <c r="S72" s="13">
        <v>112.8</v>
      </c>
      <c r="T72" s="18">
        <v>2095.3000000000002</v>
      </c>
      <c r="U72" s="13">
        <f>M72/N72</f>
        <v>0.75975039001560074</v>
      </c>
      <c r="V72" s="13">
        <f>O72/P72</f>
        <v>2.1437359339834958</v>
      </c>
      <c r="W72" s="24" t="s">
        <v>215</v>
      </c>
      <c r="X72" t="s">
        <v>216</v>
      </c>
      <c r="Y72" t="s">
        <v>217</v>
      </c>
      <c r="Z72" t="s">
        <v>51</v>
      </c>
      <c r="AB72" s="2" t="s">
        <v>34</v>
      </c>
      <c r="AC72" s="24">
        <v>33.299999999999997</v>
      </c>
      <c r="AD72" s="5">
        <v>100000</v>
      </c>
      <c r="AE72">
        <v>7.0299999999999996E-4</v>
      </c>
      <c r="AI72" s="10" t="s">
        <v>218</v>
      </c>
      <c r="AJ72" t="s">
        <v>443</v>
      </c>
      <c r="AK72" s="64" t="s">
        <v>513</v>
      </c>
    </row>
    <row r="73" spans="2:37" ht="16" x14ac:dyDescent="0.2">
      <c r="B73" s="3" t="s">
        <v>77</v>
      </c>
      <c r="F73" s="28"/>
      <c r="G73"/>
      <c r="H73"/>
      <c r="I73">
        <v>204.55</v>
      </c>
      <c r="J73" s="2">
        <v>346</v>
      </c>
      <c r="K73"/>
      <c r="M73" s="13"/>
      <c r="N73" s="13"/>
      <c r="O73" s="13"/>
      <c r="P73" s="52"/>
      <c r="Q73" s="13"/>
      <c r="R73" s="13"/>
      <c r="S73" s="13">
        <v>204.55</v>
      </c>
      <c r="T73" s="18">
        <v>346</v>
      </c>
      <c r="U73" s="13"/>
      <c r="V73"/>
      <c r="W73" s="24" t="s">
        <v>31</v>
      </c>
      <c r="X73">
        <v>4</v>
      </c>
      <c r="Y73" t="s">
        <v>46</v>
      </c>
      <c r="Z73" t="s">
        <v>51</v>
      </c>
      <c r="AB73" s="2" t="s">
        <v>34</v>
      </c>
      <c r="AC73" s="24">
        <v>3.9</v>
      </c>
      <c r="AD73">
        <v>105</v>
      </c>
      <c r="AE73">
        <v>6.3769999999999999E-3</v>
      </c>
      <c r="AF73">
        <v>38.1</v>
      </c>
      <c r="AH73" s="23" t="s">
        <v>78</v>
      </c>
      <c r="AI73" s="10" t="s">
        <v>79</v>
      </c>
      <c r="AJ73" t="s">
        <v>476</v>
      </c>
      <c r="AK73" s="64" t="s">
        <v>513</v>
      </c>
    </row>
    <row r="74" spans="2:37" ht="16" x14ac:dyDescent="0.2">
      <c r="B74" s="3" t="s">
        <v>228</v>
      </c>
      <c r="C74">
        <v>47.548299999999998</v>
      </c>
      <c r="E74">
        <v>65.816100000000006</v>
      </c>
      <c r="F74" s="28"/>
      <c r="G74"/>
      <c r="H74"/>
      <c r="I74"/>
      <c r="K74"/>
      <c r="M74" s="13">
        <v>47.548299999999998</v>
      </c>
      <c r="N74" s="13"/>
      <c r="O74" s="13">
        <v>65.816100000000006</v>
      </c>
      <c r="P74" s="52"/>
      <c r="Q74" s="13"/>
      <c r="R74" s="13"/>
      <c r="S74" s="13"/>
      <c r="T74" s="18"/>
      <c r="U74" s="13"/>
      <c r="V74" s="13"/>
      <c r="W74" s="24" t="s">
        <v>229</v>
      </c>
      <c r="Y74" t="s">
        <v>230</v>
      </c>
      <c r="Z74" t="s">
        <v>51</v>
      </c>
      <c r="AB74" s="2" t="s">
        <v>231</v>
      </c>
      <c r="AC74" s="68">
        <v>20</v>
      </c>
      <c r="AD74" s="5">
        <v>12000</v>
      </c>
      <c r="AG74" s="2" t="s">
        <v>35</v>
      </c>
      <c r="AH74" s="23" t="s">
        <v>232</v>
      </c>
      <c r="AI74" s="10" t="s">
        <v>512</v>
      </c>
      <c r="AJ74" t="s">
        <v>511</v>
      </c>
      <c r="AK74" s="64" t="s">
        <v>513</v>
      </c>
    </row>
    <row r="75" spans="2:37" ht="16" x14ac:dyDescent="0.2">
      <c r="B75" s="3" t="s">
        <v>203</v>
      </c>
      <c r="C75">
        <v>58.4</v>
      </c>
      <c r="D75">
        <v>1030</v>
      </c>
      <c r="E75">
        <v>104.2</v>
      </c>
      <c r="F75" s="28">
        <v>2120</v>
      </c>
      <c r="G75">
        <f>C75+D75</f>
        <v>1088.4000000000001</v>
      </c>
      <c r="H75">
        <f>E75+F75</f>
        <v>2224.1999999999998</v>
      </c>
      <c r="I75">
        <v>1088.4000000000001</v>
      </c>
      <c r="J75" s="2">
        <v>2224.1999999999998</v>
      </c>
      <c r="K75"/>
      <c r="M75" s="13">
        <v>58.4</v>
      </c>
      <c r="N75" s="13">
        <v>1030</v>
      </c>
      <c r="O75" s="13">
        <v>104.2</v>
      </c>
      <c r="P75" s="52">
        <v>2120</v>
      </c>
      <c r="Q75" s="13">
        <v>1088.4000000000001</v>
      </c>
      <c r="R75" s="13">
        <f>O75+P75</f>
        <v>2224.1999999999998</v>
      </c>
      <c r="S75" s="13">
        <v>1088.4000000000001</v>
      </c>
      <c r="T75" s="18">
        <v>2224.1999999999998</v>
      </c>
      <c r="U75" s="13">
        <f>M75/N75</f>
        <v>5.6699029126213593E-2</v>
      </c>
      <c r="V75" s="13">
        <f>O75/P75</f>
        <v>4.9150943396226415E-2</v>
      </c>
      <c r="W75" s="24" t="s">
        <v>31</v>
      </c>
      <c r="X75" t="s">
        <v>204</v>
      </c>
      <c r="Y75" t="s">
        <v>46</v>
      </c>
      <c r="Z75" t="s">
        <v>51</v>
      </c>
      <c r="AC75" s="24">
        <v>17.399999999999999</v>
      </c>
      <c r="AD75" s="5">
        <v>1332</v>
      </c>
      <c r="AH75" s="23" t="s">
        <v>205</v>
      </c>
      <c r="AI75" s="10" t="s">
        <v>206</v>
      </c>
      <c r="AJ75" t="s">
        <v>478</v>
      </c>
      <c r="AK75" s="64" t="s">
        <v>513</v>
      </c>
    </row>
    <row r="76" spans="2:37" ht="16" x14ac:dyDescent="0.2">
      <c r="B76" s="3" t="s">
        <v>221</v>
      </c>
      <c r="C76">
        <v>170.1</v>
      </c>
      <c r="D76">
        <v>101.9</v>
      </c>
      <c r="E76">
        <v>324.60000000000002</v>
      </c>
      <c r="F76" s="28">
        <v>174.7</v>
      </c>
      <c r="G76">
        <f>C76+D76</f>
        <v>272</v>
      </c>
      <c r="H76">
        <f>E76+F76</f>
        <v>499.3</v>
      </c>
      <c r="I76">
        <f>C76+D76</f>
        <v>272</v>
      </c>
      <c r="J76" s="2">
        <f>E76+F76</f>
        <v>499.3</v>
      </c>
      <c r="K76"/>
      <c r="M76" s="13">
        <v>170.1</v>
      </c>
      <c r="N76" s="13">
        <v>101.9</v>
      </c>
      <c r="O76" s="13">
        <v>324.60000000000002</v>
      </c>
      <c r="P76" s="52">
        <v>174.7</v>
      </c>
      <c r="Q76" s="13">
        <v>272</v>
      </c>
      <c r="R76" s="13">
        <f>O76+P76</f>
        <v>499.3</v>
      </c>
      <c r="S76" s="13">
        <v>272</v>
      </c>
      <c r="T76" s="18">
        <v>499.3</v>
      </c>
      <c r="U76" s="13">
        <f>M76/N76</f>
        <v>1.6692836113837093</v>
      </c>
      <c r="V76" s="13">
        <f>O76/P76</f>
        <v>1.8580423583285635</v>
      </c>
      <c r="W76" s="24" t="s">
        <v>215</v>
      </c>
      <c r="X76" t="s">
        <v>216</v>
      </c>
      <c r="Y76" t="s">
        <v>217</v>
      </c>
      <c r="Z76" t="s">
        <v>51</v>
      </c>
      <c r="AB76" s="2" t="s">
        <v>34</v>
      </c>
      <c r="AC76" s="24">
        <v>9.4</v>
      </c>
      <c r="AD76" s="5">
        <v>1021</v>
      </c>
      <c r="AG76" s="2" t="s">
        <v>35</v>
      </c>
      <c r="AI76" s="10" t="s">
        <v>218</v>
      </c>
      <c r="AJ76" t="s">
        <v>443</v>
      </c>
      <c r="AK76" s="64" t="s">
        <v>513</v>
      </c>
    </row>
    <row r="77" spans="2:37" ht="16" x14ac:dyDescent="0.2">
      <c r="B77" s="3" t="s">
        <v>222</v>
      </c>
      <c r="C77">
        <v>248.8</v>
      </c>
      <c r="D77">
        <v>302.2</v>
      </c>
      <c r="E77">
        <v>1100.7</v>
      </c>
      <c r="F77" s="28">
        <v>1621.8</v>
      </c>
      <c r="G77">
        <f>C77+D77</f>
        <v>551</v>
      </c>
      <c r="H77">
        <f>E77+F77</f>
        <v>2722.5</v>
      </c>
      <c r="I77">
        <f>C77+D77</f>
        <v>551</v>
      </c>
      <c r="J77" s="2">
        <f>E77+F77</f>
        <v>2722.5</v>
      </c>
      <c r="K77"/>
      <c r="M77" s="13">
        <v>248.8</v>
      </c>
      <c r="N77" s="13">
        <v>302.2</v>
      </c>
      <c r="O77" s="13">
        <v>1100.7</v>
      </c>
      <c r="P77" s="52">
        <v>1621.8</v>
      </c>
      <c r="Q77" s="13">
        <v>551</v>
      </c>
      <c r="R77" s="13">
        <f>O77+P77</f>
        <v>2722.5</v>
      </c>
      <c r="S77" s="13">
        <v>551</v>
      </c>
      <c r="T77" s="18">
        <v>2722.5</v>
      </c>
      <c r="U77" s="13">
        <f>M77/N77</f>
        <v>0.82329583057577771</v>
      </c>
      <c r="V77" s="13">
        <f>O77/P77</f>
        <v>0.67869034406215323</v>
      </c>
      <c r="W77" s="24" t="s">
        <v>215</v>
      </c>
      <c r="X77" t="s">
        <v>216</v>
      </c>
      <c r="Y77" t="s">
        <v>217</v>
      </c>
      <c r="Z77" t="s">
        <v>51</v>
      </c>
      <c r="AB77" s="2" t="s">
        <v>34</v>
      </c>
      <c r="AC77">
        <v>19.8</v>
      </c>
      <c r="AD77" s="5">
        <v>19500</v>
      </c>
      <c r="AG77" s="2" t="s">
        <v>35</v>
      </c>
      <c r="AI77" s="10" t="s">
        <v>218</v>
      </c>
      <c r="AJ77" t="s">
        <v>443</v>
      </c>
      <c r="AK77" s="64" t="s">
        <v>513</v>
      </c>
    </row>
    <row r="78" spans="2:37" ht="16" x14ac:dyDescent="0.2">
      <c r="B78" s="3" t="s">
        <v>263</v>
      </c>
      <c r="C78">
        <v>138.59800000000001</v>
      </c>
      <c r="E78">
        <v>272.02499999999998</v>
      </c>
      <c r="F78" s="28"/>
      <c r="G78"/>
      <c r="H78"/>
      <c r="I78"/>
      <c r="K78">
        <v>135</v>
      </c>
      <c r="L78" s="2">
        <v>439</v>
      </c>
      <c r="M78" s="13">
        <v>138.59800000000001</v>
      </c>
      <c r="N78" s="13"/>
      <c r="O78" s="13">
        <v>272.02499999999998</v>
      </c>
      <c r="P78" s="52"/>
      <c r="Q78" s="13"/>
      <c r="R78" s="13"/>
      <c r="S78" s="13"/>
      <c r="T78" s="18"/>
      <c r="U78" s="13"/>
      <c r="V78" s="13"/>
      <c r="W78" s="24" t="s">
        <v>154</v>
      </c>
      <c r="Y78" t="s">
        <v>46</v>
      </c>
      <c r="Z78" t="s">
        <v>51</v>
      </c>
      <c r="AC78">
        <v>14</v>
      </c>
      <c r="AD78">
        <v>235</v>
      </c>
      <c r="AE78">
        <v>4.7999999999999996E-3</v>
      </c>
      <c r="AF78">
        <v>37.6</v>
      </c>
      <c r="AI78" s="49" t="s">
        <v>264</v>
      </c>
      <c r="AJ78" s="64" t="s">
        <v>479</v>
      </c>
      <c r="AK78" s="64" t="s">
        <v>513</v>
      </c>
    </row>
    <row r="79" spans="2:37" ht="16" x14ac:dyDescent="0.2">
      <c r="B79" s="3" t="s">
        <v>164</v>
      </c>
      <c r="F79" s="28"/>
      <c r="G79"/>
      <c r="H79"/>
      <c r="I79">
        <v>67.5</v>
      </c>
      <c r="J79" s="2">
        <v>190.25</v>
      </c>
      <c r="K79">
        <v>31</v>
      </c>
      <c r="L79" s="2">
        <v>85</v>
      </c>
      <c r="M79" s="13"/>
      <c r="N79" s="13"/>
      <c r="O79" s="13"/>
      <c r="P79" s="52"/>
      <c r="Q79" s="13"/>
      <c r="R79" s="13"/>
      <c r="S79" s="13">
        <v>67.5</v>
      </c>
      <c r="T79" s="18">
        <v>190.25</v>
      </c>
      <c r="U79" s="13"/>
      <c r="V79" s="13"/>
      <c r="W79" s="24" t="s">
        <v>161</v>
      </c>
      <c r="X79">
        <v>14</v>
      </c>
      <c r="Y79" t="s">
        <v>46</v>
      </c>
      <c r="Z79" t="s">
        <v>51</v>
      </c>
      <c r="AB79" s="2" t="s">
        <v>34</v>
      </c>
      <c r="AC79">
        <v>23</v>
      </c>
      <c r="AD79" s="5">
        <v>87000</v>
      </c>
      <c r="AE79">
        <v>1.9959999999999999E-3</v>
      </c>
      <c r="AF79">
        <v>39</v>
      </c>
      <c r="AG79" s="2" t="s">
        <v>35</v>
      </c>
      <c r="AH79" s="23" t="s">
        <v>165</v>
      </c>
      <c r="AI79" s="10" t="s">
        <v>166</v>
      </c>
      <c r="AJ79" t="s">
        <v>480</v>
      </c>
      <c r="AK79" s="64" t="s">
        <v>513</v>
      </c>
    </row>
    <row r="80" spans="2:37" ht="16" x14ac:dyDescent="0.2">
      <c r="B80" s="3" t="s">
        <v>210</v>
      </c>
      <c r="C80">
        <v>64.122</v>
      </c>
      <c r="D80">
        <v>104.312</v>
      </c>
      <c r="E80">
        <v>14.9099</v>
      </c>
      <c r="F80" s="28">
        <v>59.786999999999999</v>
      </c>
      <c r="G80">
        <f>C80+D80</f>
        <v>168.434</v>
      </c>
      <c r="H80">
        <f>E80+F80</f>
        <v>74.696899999999999</v>
      </c>
      <c r="I80">
        <f>C80+D80</f>
        <v>168.434</v>
      </c>
      <c r="J80" s="2">
        <f>E80+F80</f>
        <v>74.696899999999999</v>
      </c>
      <c r="K80">
        <v>13</v>
      </c>
      <c r="L80" s="2">
        <v>57</v>
      </c>
      <c r="M80" s="13">
        <v>25.648800000000001</v>
      </c>
      <c r="N80" s="13">
        <v>41.648000000000003</v>
      </c>
      <c r="O80" s="13">
        <v>5.9639600000000002</v>
      </c>
      <c r="P80" s="52">
        <v>23.9148</v>
      </c>
      <c r="Q80" s="13">
        <v>67.373599999999996</v>
      </c>
      <c r="R80" s="13">
        <f>O80+P80</f>
        <v>29.87876</v>
      </c>
      <c r="S80" s="13">
        <v>67.3767</v>
      </c>
      <c r="T80" s="18">
        <v>29.878799999999998</v>
      </c>
      <c r="U80" s="13">
        <f>M80/N80</f>
        <v>0.61584709950057626</v>
      </c>
      <c r="V80" s="13">
        <f>O80/P80</f>
        <v>0.24938364527405624</v>
      </c>
      <c r="W80" s="24" t="s">
        <v>31</v>
      </c>
      <c r="X80" t="s">
        <v>204</v>
      </c>
      <c r="Y80" t="s">
        <v>46</v>
      </c>
      <c r="Z80" t="s">
        <v>33</v>
      </c>
      <c r="AB80" s="2" t="s">
        <v>211</v>
      </c>
      <c r="AC80">
        <v>27.4</v>
      </c>
      <c r="AD80" s="5">
        <v>315000</v>
      </c>
      <c r="AF80">
        <v>37.700000000000003</v>
      </c>
      <c r="AH80" s="23" t="s">
        <v>212</v>
      </c>
      <c r="AI80" s="49" t="s">
        <v>213</v>
      </c>
      <c r="AJ80" s="64" t="s">
        <v>482</v>
      </c>
      <c r="AK80" s="64" t="s">
        <v>513</v>
      </c>
    </row>
    <row r="81" spans="2:37" ht="16" x14ac:dyDescent="0.2">
      <c r="B81" s="58" t="s">
        <v>274</v>
      </c>
      <c r="C81">
        <v>15.4489</v>
      </c>
      <c r="E81">
        <v>24.7638</v>
      </c>
      <c r="F81" s="28"/>
      <c r="G81"/>
      <c r="H81"/>
      <c r="I81"/>
      <c r="K81"/>
      <c r="M81" s="13">
        <v>15.4489</v>
      </c>
      <c r="N81" s="13"/>
      <c r="O81" s="13">
        <v>24.7638</v>
      </c>
      <c r="P81" s="52"/>
      <c r="Q81" s="13"/>
      <c r="R81" s="13"/>
      <c r="S81" s="13"/>
      <c r="T81" s="18"/>
      <c r="U81" s="13"/>
      <c r="V81" s="13"/>
      <c r="W81" s="24" t="s">
        <v>31</v>
      </c>
      <c r="X81" t="s">
        <v>275</v>
      </c>
      <c r="Y81" t="s">
        <v>276</v>
      </c>
      <c r="Z81" t="s">
        <v>51</v>
      </c>
      <c r="AB81" s="2" t="s">
        <v>34</v>
      </c>
      <c r="AC81">
        <v>28</v>
      </c>
      <c r="AD81" s="5">
        <v>175000</v>
      </c>
      <c r="AE81">
        <v>9.6500000000000004E-4</v>
      </c>
      <c r="AF81">
        <v>37.9</v>
      </c>
      <c r="AI81" s="10" t="s">
        <v>277</v>
      </c>
      <c r="AJ81" t="s">
        <v>484</v>
      </c>
      <c r="AK81" s="64" t="s">
        <v>513</v>
      </c>
    </row>
    <row r="82" spans="2:37" ht="16" x14ac:dyDescent="0.2">
      <c r="B82" s="3" t="s">
        <v>184</v>
      </c>
      <c r="C82">
        <v>307.8</v>
      </c>
      <c r="E82">
        <v>820.9</v>
      </c>
      <c r="F82" s="28"/>
      <c r="G82"/>
      <c r="H82"/>
      <c r="I82"/>
      <c r="K82"/>
      <c r="M82" s="13">
        <v>307.8</v>
      </c>
      <c r="N82" s="13"/>
      <c r="O82" s="13">
        <v>820.9</v>
      </c>
      <c r="P82" s="52"/>
      <c r="Q82" s="13"/>
      <c r="R82" s="13"/>
      <c r="S82" s="13"/>
      <c r="T82" s="18"/>
      <c r="U82" s="13"/>
      <c r="V82" s="13"/>
      <c r="W82" s="24" t="s">
        <v>161</v>
      </c>
      <c r="X82">
        <v>14</v>
      </c>
      <c r="Y82" t="s">
        <v>185</v>
      </c>
      <c r="Z82" t="s">
        <v>51</v>
      </c>
      <c r="AB82" s="2" t="s">
        <v>34</v>
      </c>
      <c r="AC82">
        <v>28</v>
      </c>
      <c r="AD82" s="5">
        <v>81150</v>
      </c>
      <c r="AE82">
        <v>1.238E-3</v>
      </c>
      <c r="AF82">
        <v>37</v>
      </c>
      <c r="AH82" s="23" t="s">
        <v>186</v>
      </c>
      <c r="AI82" s="10" t="s">
        <v>187</v>
      </c>
      <c r="AJ82" t="s">
        <v>485</v>
      </c>
      <c r="AK82" s="64" t="s">
        <v>513</v>
      </c>
    </row>
    <row r="83" spans="2:37" ht="16" x14ac:dyDescent="0.2">
      <c r="B83" s="3" t="s">
        <v>107</v>
      </c>
      <c r="F83" s="28"/>
      <c r="G83"/>
      <c r="H83"/>
      <c r="I83">
        <v>101.455</v>
      </c>
      <c r="K83">
        <v>131</v>
      </c>
      <c r="L83" s="2">
        <v>242</v>
      </c>
      <c r="M83" s="13"/>
      <c r="N83" s="13"/>
      <c r="O83" s="13"/>
      <c r="P83" s="52"/>
      <c r="Q83" s="13"/>
      <c r="R83" s="13"/>
      <c r="S83" s="13">
        <v>101.455</v>
      </c>
      <c r="T83" s="18"/>
      <c r="U83" s="13"/>
      <c r="V83" s="13"/>
      <c r="W83" s="24" t="s">
        <v>31</v>
      </c>
      <c r="X83">
        <v>9</v>
      </c>
      <c r="Y83" t="s">
        <v>108</v>
      </c>
      <c r="Z83" t="s">
        <v>51</v>
      </c>
      <c r="AB83" s="2" t="s">
        <v>34</v>
      </c>
      <c r="AC83">
        <v>26.3</v>
      </c>
      <c r="AD83" s="5">
        <v>119700</v>
      </c>
      <c r="AE83">
        <v>9.7099999999999997E-4</v>
      </c>
      <c r="AF83">
        <v>37.5</v>
      </c>
      <c r="AH83" s="23" t="s">
        <v>109</v>
      </c>
      <c r="AI83" s="10" t="s">
        <v>110</v>
      </c>
      <c r="AJ83" t="s">
        <v>486</v>
      </c>
      <c r="AK83" s="64" t="s">
        <v>513</v>
      </c>
    </row>
    <row r="84" spans="2:37" ht="16" x14ac:dyDescent="0.2">
      <c r="B84" s="3" t="s">
        <v>111</v>
      </c>
      <c r="F84" s="28"/>
      <c r="G84"/>
      <c r="H84"/>
      <c r="I84">
        <v>101.44499999999999</v>
      </c>
      <c r="K84">
        <v>131</v>
      </c>
      <c r="L84" s="2">
        <v>242</v>
      </c>
      <c r="M84" s="13"/>
      <c r="N84" s="13"/>
      <c r="O84" s="13"/>
      <c r="P84" s="52"/>
      <c r="Q84" s="13"/>
      <c r="R84" s="13"/>
      <c r="S84" s="13">
        <v>101.44499999999999</v>
      </c>
      <c r="T84" s="18"/>
      <c r="U84" s="13"/>
      <c r="V84" s="13"/>
      <c r="W84" s="24" t="s">
        <v>31</v>
      </c>
      <c r="X84">
        <v>9</v>
      </c>
      <c r="Y84" t="s">
        <v>108</v>
      </c>
      <c r="Z84" t="s">
        <v>51</v>
      </c>
      <c r="AB84" s="2" t="s">
        <v>34</v>
      </c>
      <c r="AC84">
        <v>26.3</v>
      </c>
      <c r="AD84" s="5">
        <v>119700</v>
      </c>
      <c r="AE84">
        <v>9.7099999999999997E-4</v>
      </c>
      <c r="AF84">
        <v>37.5</v>
      </c>
      <c r="AH84" s="23" t="s">
        <v>109</v>
      </c>
      <c r="AI84" t="s">
        <v>110</v>
      </c>
      <c r="AJ84" t="s">
        <v>486</v>
      </c>
      <c r="AK84" s="64" t="s">
        <v>513</v>
      </c>
    </row>
    <row r="85" spans="2:37" ht="16" x14ac:dyDescent="0.2">
      <c r="B85" s="3" t="s">
        <v>121</v>
      </c>
      <c r="F85" s="28"/>
      <c r="G85"/>
      <c r="H85"/>
      <c r="I85">
        <v>35.9</v>
      </c>
      <c r="J85" s="2">
        <v>96.3</v>
      </c>
      <c r="K85"/>
      <c r="M85" s="13"/>
      <c r="N85" s="13"/>
      <c r="O85" s="13"/>
      <c r="P85" s="52"/>
      <c r="Q85" s="13"/>
      <c r="R85" s="13"/>
      <c r="S85" s="13">
        <v>35.9</v>
      </c>
      <c r="T85" s="18">
        <v>96.3</v>
      </c>
      <c r="U85" s="13"/>
      <c r="V85" s="13"/>
      <c r="W85" s="24" t="s">
        <v>122</v>
      </c>
      <c r="X85">
        <v>9</v>
      </c>
      <c r="Y85" t="s">
        <v>46</v>
      </c>
      <c r="Z85" t="s">
        <v>51</v>
      </c>
      <c r="AA85">
        <v>23000</v>
      </c>
      <c r="AB85" s="2" t="s">
        <v>34</v>
      </c>
      <c r="AC85">
        <v>31.5</v>
      </c>
      <c r="AD85" s="5">
        <v>20200</v>
      </c>
      <c r="AE85">
        <v>1.6180000000000001E-3</v>
      </c>
      <c r="AF85">
        <v>37.5</v>
      </c>
      <c r="AH85" s="23" t="s">
        <v>123</v>
      </c>
      <c r="AI85" s="10" t="s">
        <v>124</v>
      </c>
      <c r="AJ85" t="s">
        <v>488</v>
      </c>
      <c r="AK85" s="64" t="s">
        <v>513</v>
      </c>
    </row>
    <row r="86" spans="2:37" ht="16" x14ac:dyDescent="0.2">
      <c r="B86" s="3" t="s">
        <v>132</v>
      </c>
      <c r="D86">
        <v>1436.55</v>
      </c>
      <c r="F86" s="28">
        <v>2368.4699999999998</v>
      </c>
      <c r="G86"/>
      <c r="H86"/>
      <c r="I86"/>
      <c r="K86"/>
      <c r="M86" s="13"/>
      <c r="N86" s="13">
        <v>1436.55</v>
      </c>
      <c r="O86" s="13"/>
      <c r="P86" s="52">
        <v>2368.4699999999998</v>
      </c>
      <c r="Q86" s="13"/>
      <c r="R86" s="13"/>
      <c r="S86" s="13"/>
      <c r="T86" s="18"/>
      <c r="U86" s="13"/>
      <c r="V86" s="13"/>
      <c r="W86" s="24" t="s">
        <v>31</v>
      </c>
      <c r="X86">
        <v>10</v>
      </c>
      <c r="Y86" t="s">
        <v>46</v>
      </c>
      <c r="Z86" t="s">
        <v>51</v>
      </c>
      <c r="AA86" t="s">
        <v>133</v>
      </c>
      <c r="AB86" s="2" t="s">
        <v>134</v>
      </c>
      <c r="AC86">
        <v>8.3000000000000007</v>
      </c>
      <c r="AD86">
        <v>21</v>
      </c>
      <c r="AE86">
        <v>1.0683E-2</v>
      </c>
      <c r="AF86">
        <v>36.6</v>
      </c>
      <c r="AH86" s="23" t="s">
        <v>135</v>
      </c>
      <c r="AI86" s="10" t="s">
        <v>136</v>
      </c>
      <c r="AJ86" t="s">
        <v>489</v>
      </c>
      <c r="AK86" s="64" t="s">
        <v>513</v>
      </c>
    </row>
    <row r="87" spans="2:37" ht="16" x14ac:dyDescent="0.2">
      <c r="B87" s="3" t="s">
        <v>115</v>
      </c>
      <c r="F87" s="28"/>
      <c r="G87"/>
      <c r="H87"/>
      <c r="I87">
        <v>1711.15</v>
      </c>
      <c r="J87" s="2">
        <v>7137.67</v>
      </c>
      <c r="K87"/>
      <c r="M87" s="13"/>
      <c r="N87" s="13"/>
      <c r="O87" s="13"/>
      <c r="P87" s="52"/>
      <c r="Q87" s="13"/>
      <c r="R87" s="13"/>
      <c r="S87" s="13">
        <v>1711.15</v>
      </c>
      <c r="T87" s="18">
        <v>7137.67</v>
      </c>
      <c r="U87" s="13"/>
      <c r="V87" s="13"/>
      <c r="W87" s="24" t="s">
        <v>31</v>
      </c>
      <c r="X87">
        <v>9</v>
      </c>
      <c r="Y87" t="s">
        <v>46</v>
      </c>
      <c r="Z87" t="s">
        <v>51</v>
      </c>
      <c r="AA87">
        <v>8100</v>
      </c>
      <c r="AB87" s="2" t="s">
        <v>34</v>
      </c>
      <c r="AC87">
        <v>17.2</v>
      </c>
      <c r="AD87" s="5">
        <v>10650</v>
      </c>
      <c r="AH87" s="23" t="s">
        <v>116</v>
      </c>
      <c r="AI87" s="10" t="s">
        <v>117</v>
      </c>
      <c r="AJ87" t="s">
        <v>490</v>
      </c>
      <c r="AK87" s="64" t="s">
        <v>513</v>
      </c>
    </row>
    <row r="88" spans="2:37" ht="16" x14ac:dyDescent="0.2">
      <c r="B88" s="3" t="s">
        <v>266</v>
      </c>
      <c r="F88" s="28"/>
      <c r="G88"/>
      <c r="H88"/>
      <c r="I88">
        <v>60.66</v>
      </c>
      <c r="J88" s="2">
        <v>82.6</v>
      </c>
      <c r="K88">
        <v>11</v>
      </c>
      <c r="L88" s="2">
        <v>65</v>
      </c>
      <c r="M88" s="13"/>
      <c r="N88" s="13"/>
      <c r="O88" s="13"/>
      <c r="P88" s="52"/>
      <c r="Q88" s="13"/>
      <c r="R88" s="13"/>
      <c r="S88" s="13">
        <v>60.66</v>
      </c>
      <c r="T88" s="18">
        <v>82.6</v>
      </c>
      <c r="U88" s="13"/>
      <c r="V88" s="13"/>
      <c r="W88" s="24" t="s">
        <v>154</v>
      </c>
      <c r="Y88" t="s">
        <v>46</v>
      </c>
      <c r="Z88" t="s">
        <v>51</v>
      </c>
      <c r="AC88">
        <v>21.8</v>
      </c>
      <c r="AD88" s="5">
        <v>101250</v>
      </c>
      <c r="AE88">
        <v>1.408E-3</v>
      </c>
      <c r="AF88">
        <v>37.200000000000003</v>
      </c>
      <c r="AH88" s="23" t="s">
        <v>267</v>
      </c>
      <c r="AI88" s="49" t="s">
        <v>268</v>
      </c>
      <c r="AJ88" s="64" t="s">
        <v>492</v>
      </c>
      <c r="AK88" s="64" t="s">
        <v>513</v>
      </c>
    </row>
    <row r="89" spans="2:37" ht="16" x14ac:dyDescent="0.2">
      <c r="B89" s="3" t="s">
        <v>269</v>
      </c>
      <c r="F89" s="28"/>
      <c r="G89"/>
      <c r="H89"/>
      <c r="I89">
        <v>41.3</v>
      </c>
      <c r="J89" s="2">
        <v>137.80000000000001</v>
      </c>
      <c r="K89"/>
      <c r="M89" s="13"/>
      <c r="N89" s="13"/>
      <c r="O89" s="13"/>
      <c r="P89" s="52"/>
      <c r="Q89" s="13"/>
      <c r="R89" s="13"/>
      <c r="S89" s="13">
        <v>41.3</v>
      </c>
      <c r="T89" s="18">
        <v>137.80000000000001</v>
      </c>
      <c r="U89" s="13"/>
      <c r="V89" s="13"/>
      <c r="W89" s="24" t="s">
        <v>154</v>
      </c>
      <c r="Y89" t="s">
        <v>46</v>
      </c>
      <c r="Z89" t="s">
        <v>51</v>
      </c>
      <c r="AC89">
        <v>21.8</v>
      </c>
      <c r="AD89" s="5">
        <v>101250</v>
      </c>
      <c r="AE89">
        <v>1.408E-3</v>
      </c>
      <c r="AG89" s="2" t="s">
        <v>35</v>
      </c>
      <c r="AH89" s="23" t="s">
        <v>270</v>
      </c>
      <c r="AI89" s="8" t="s">
        <v>268</v>
      </c>
      <c r="AJ89" t="s">
        <v>492</v>
      </c>
      <c r="AK89" s="64" t="s">
        <v>513</v>
      </c>
    </row>
    <row r="90" spans="2:37" ht="16" x14ac:dyDescent="0.2">
      <c r="B90" s="3" t="s">
        <v>118</v>
      </c>
      <c r="C90">
        <v>9.66</v>
      </c>
      <c r="E90">
        <v>35.28</v>
      </c>
      <c r="F90" s="28"/>
      <c r="G90"/>
      <c r="H90"/>
      <c r="I90"/>
      <c r="K90"/>
      <c r="M90" s="13">
        <v>9.66</v>
      </c>
      <c r="N90" s="13"/>
      <c r="O90" s="13">
        <v>35.28</v>
      </c>
      <c r="P90" s="52"/>
      <c r="Q90" s="13"/>
      <c r="R90" s="13"/>
      <c r="S90" s="13"/>
      <c r="T90" s="18"/>
      <c r="U90" s="13"/>
      <c r="V90" s="13"/>
      <c r="W90" s="24" t="s">
        <v>31</v>
      </c>
      <c r="X90">
        <v>9</v>
      </c>
      <c r="Y90" t="s">
        <v>46</v>
      </c>
      <c r="Z90" t="s">
        <v>51</v>
      </c>
      <c r="AB90" s="2" t="s">
        <v>34</v>
      </c>
      <c r="AC90">
        <v>43.5</v>
      </c>
      <c r="AD90" s="5">
        <v>1602330</v>
      </c>
      <c r="AF90">
        <v>37.4</v>
      </c>
      <c r="AH90" s="23" t="s">
        <v>119</v>
      </c>
      <c r="AI90" s="10" t="s">
        <v>120</v>
      </c>
      <c r="AJ90" t="s">
        <v>493</v>
      </c>
      <c r="AK90" s="64" t="s">
        <v>513</v>
      </c>
    </row>
    <row r="91" spans="2:37" ht="16" x14ac:dyDescent="0.2">
      <c r="B91" s="3" t="s">
        <v>149</v>
      </c>
      <c r="C91">
        <v>263.02999999999997</v>
      </c>
      <c r="E91">
        <v>416.87</v>
      </c>
      <c r="F91" s="28"/>
      <c r="G91"/>
      <c r="H91"/>
      <c r="I91"/>
      <c r="K91"/>
      <c r="M91" s="13">
        <v>263.02999999999997</v>
      </c>
      <c r="N91" s="13"/>
      <c r="O91" s="13">
        <v>416.87</v>
      </c>
      <c r="P91" s="52"/>
      <c r="Q91" s="13"/>
      <c r="R91" s="13"/>
      <c r="S91" s="13"/>
      <c r="T91" s="18"/>
      <c r="U91" s="13"/>
      <c r="V91" s="13"/>
      <c r="W91" s="24" t="s">
        <v>31</v>
      </c>
      <c r="X91">
        <v>11</v>
      </c>
      <c r="Y91" t="s">
        <v>150</v>
      </c>
      <c r="Z91" t="s">
        <v>51</v>
      </c>
      <c r="AA91">
        <v>630</v>
      </c>
      <c r="AB91" s="2" t="s">
        <v>34</v>
      </c>
      <c r="AC91"/>
      <c r="AD91">
        <v>412.5</v>
      </c>
      <c r="AG91" s="2" t="s">
        <v>35</v>
      </c>
      <c r="AH91" s="23" t="s">
        <v>151</v>
      </c>
      <c r="AI91" s="10" t="s">
        <v>152</v>
      </c>
      <c r="AJ91" t="s">
        <v>495</v>
      </c>
      <c r="AK91" s="64" t="s">
        <v>513</v>
      </c>
    </row>
    <row r="92" spans="2:37" ht="16" x14ac:dyDescent="0.2">
      <c r="B92" s="3" t="s">
        <v>227</v>
      </c>
      <c r="C92">
        <v>110.2</v>
      </c>
      <c r="D92">
        <v>175</v>
      </c>
      <c r="E92">
        <v>614.1</v>
      </c>
      <c r="F92" s="28">
        <v>2672.8</v>
      </c>
      <c r="G92">
        <f>C92+D92</f>
        <v>285.2</v>
      </c>
      <c r="H92">
        <f>E92+F92</f>
        <v>3286.9</v>
      </c>
      <c r="I92">
        <f>C92+D92</f>
        <v>285.2</v>
      </c>
      <c r="J92" s="2">
        <f>E92+F92</f>
        <v>3286.9</v>
      </c>
      <c r="K92"/>
      <c r="M92" s="13">
        <v>110.2</v>
      </c>
      <c r="N92" s="13">
        <v>175</v>
      </c>
      <c r="O92" s="13">
        <v>614.1</v>
      </c>
      <c r="P92" s="52">
        <v>2672.8</v>
      </c>
      <c r="Q92" s="13">
        <v>285.2</v>
      </c>
      <c r="R92" s="13">
        <f>O92+P92</f>
        <v>3286.9</v>
      </c>
      <c r="S92" s="13">
        <v>285.2</v>
      </c>
      <c r="T92" s="18">
        <v>3286.9</v>
      </c>
      <c r="U92" s="13">
        <f>M92/N92</f>
        <v>0.62971428571428578</v>
      </c>
      <c r="V92" s="13">
        <f>O92/P92</f>
        <v>0.22975905417539658</v>
      </c>
      <c r="W92" s="24" t="s">
        <v>215</v>
      </c>
      <c r="X92" t="s">
        <v>216</v>
      </c>
      <c r="Y92" t="s">
        <v>46</v>
      </c>
      <c r="Z92" t="s">
        <v>51</v>
      </c>
      <c r="AB92" s="2" t="s">
        <v>34</v>
      </c>
      <c r="AC92">
        <v>20.6</v>
      </c>
      <c r="AD92" s="5">
        <v>776</v>
      </c>
      <c r="AE92">
        <v>2.0339999999999998E-3</v>
      </c>
      <c r="AF92">
        <v>36.299999999999997</v>
      </c>
      <c r="AI92" s="10" t="s">
        <v>218</v>
      </c>
      <c r="AJ92" t="s">
        <v>443</v>
      </c>
      <c r="AK92" s="64" t="s">
        <v>513</v>
      </c>
    </row>
    <row r="93" spans="2:37" ht="16" x14ac:dyDescent="0.2">
      <c r="B93" s="3" t="s">
        <v>180</v>
      </c>
      <c r="F93" s="28"/>
      <c r="G93"/>
      <c r="H93"/>
      <c r="I93">
        <v>40.19</v>
      </c>
      <c r="J93" s="2">
        <v>250.29400000000001</v>
      </c>
      <c r="K93">
        <v>16</v>
      </c>
      <c r="L93" s="2">
        <v>42</v>
      </c>
      <c r="M93" s="13"/>
      <c r="N93" s="13"/>
      <c r="O93" s="13"/>
      <c r="P93" s="52"/>
      <c r="Q93" s="13"/>
      <c r="R93" s="13"/>
      <c r="S93" s="13">
        <v>40.19</v>
      </c>
      <c r="T93" s="18">
        <v>250.29400000000001</v>
      </c>
      <c r="U93" s="13"/>
      <c r="V93" s="13"/>
      <c r="W93" s="24" t="s">
        <v>154</v>
      </c>
      <c r="X93">
        <v>14</v>
      </c>
      <c r="Y93" t="s">
        <v>46</v>
      </c>
      <c r="Z93" t="s">
        <v>51</v>
      </c>
      <c r="AA93">
        <v>353500</v>
      </c>
      <c r="AB93" s="2" t="s">
        <v>181</v>
      </c>
      <c r="AC93">
        <v>32.799999999999997</v>
      </c>
      <c r="AD93" s="5">
        <v>700000</v>
      </c>
      <c r="AH93" s="23" t="s">
        <v>182</v>
      </c>
      <c r="AI93" s="49" t="s">
        <v>183</v>
      </c>
      <c r="AJ93" s="64" t="s">
        <v>496</v>
      </c>
      <c r="AK93" s="64" t="s">
        <v>513</v>
      </c>
    </row>
    <row r="94" spans="2:37" ht="16" x14ac:dyDescent="0.2">
      <c r="B94" s="3" t="s">
        <v>92</v>
      </c>
      <c r="C94">
        <v>2625</v>
      </c>
      <c r="E94">
        <v>3748</v>
      </c>
      <c r="F94" s="28"/>
      <c r="G94"/>
      <c r="H94"/>
      <c r="I94"/>
      <c r="K94"/>
      <c r="M94" s="13">
        <f>2625*0.4</f>
        <v>1050</v>
      </c>
      <c r="N94" s="13"/>
      <c r="O94" s="13">
        <f>3748*0.4</f>
        <v>1499.2</v>
      </c>
      <c r="P94" s="52"/>
      <c r="Q94" s="13"/>
      <c r="R94" s="13"/>
      <c r="S94" s="13"/>
      <c r="T94" s="18"/>
      <c r="U94" s="13"/>
      <c r="V94"/>
      <c r="W94" s="24" t="s">
        <v>31</v>
      </c>
      <c r="X94">
        <v>4</v>
      </c>
      <c r="Y94" t="s">
        <v>46</v>
      </c>
      <c r="Z94" t="s">
        <v>33</v>
      </c>
      <c r="AB94" s="2" t="s">
        <v>34</v>
      </c>
      <c r="AC94">
        <v>19</v>
      </c>
      <c r="AD94" s="5">
        <v>4500</v>
      </c>
      <c r="AE94">
        <v>1.433E-3</v>
      </c>
      <c r="AF94">
        <v>33.5</v>
      </c>
      <c r="AH94" s="23" t="s">
        <v>516</v>
      </c>
      <c r="AI94" s="49" t="s">
        <v>93</v>
      </c>
      <c r="AJ94" s="64" t="s">
        <v>497</v>
      </c>
      <c r="AK94" s="64" t="s">
        <v>513</v>
      </c>
    </row>
    <row r="95" spans="2:37" ht="19" customHeight="1" x14ac:dyDescent="0.2">
      <c r="B95" s="20" t="s">
        <v>112</v>
      </c>
      <c r="C95">
        <v>642.1</v>
      </c>
      <c r="E95">
        <v>1379.3</v>
      </c>
      <c r="H95"/>
      <c r="K95"/>
      <c r="M95" s="13">
        <v>642.1</v>
      </c>
      <c r="N95" s="13"/>
      <c r="O95" s="13">
        <v>1379.3</v>
      </c>
      <c r="P95" s="18"/>
      <c r="Q95" s="18"/>
      <c r="R95" s="18"/>
      <c r="S95" s="18"/>
      <c r="T95" s="18"/>
      <c r="U95" s="13"/>
      <c r="V95" s="13"/>
      <c r="W95" s="2" t="s">
        <v>31</v>
      </c>
      <c r="X95">
        <v>9</v>
      </c>
      <c r="Y95" t="s">
        <v>46</v>
      </c>
      <c r="Z95" t="s">
        <v>51</v>
      </c>
      <c r="AB95" s="2" t="s">
        <v>34</v>
      </c>
      <c r="AC95" s="2">
        <v>36.799999999999997</v>
      </c>
      <c r="AD95" s="5">
        <v>1500</v>
      </c>
      <c r="AE95">
        <v>1.01E-3</v>
      </c>
      <c r="AF95">
        <v>33</v>
      </c>
      <c r="AH95" s="23" t="s">
        <v>113</v>
      </c>
      <c r="AI95" s="10" t="s">
        <v>114</v>
      </c>
      <c r="AJ95" t="s">
        <v>498</v>
      </c>
      <c r="AK95" s="64" t="s">
        <v>513</v>
      </c>
    </row>
    <row r="96" spans="2:37" ht="19" customHeight="1" x14ac:dyDescent="0.2">
      <c r="B96" s="3" t="s">
        <v>94</v>
      </c>
      <c r="H96"/>
      <c r="I96" s="2">
        <v>46.314999999999998</v>
      </c>
      <c r="J96" s="2">
        <v>87.643000000000001</v>
      </c>
      <c r="K96">
        <v>126</v>
      </c>
      <c r="L96" s="2">
        <v>164</v>
      </c>
      <c r="M96" s="13"/>
      <c r="N96" s="13"/>
      <c r="O96" s="13"/>
      <c r="P96" s="18"/>
      <c r="Q96" s="18"/>
      <c r="R96" s="18"/>
      <c r="S96" s="18">
        <v>46.314999999999998</v>
      </c>
      <c r="T96" s="18">
        <v>87.643000000000001</v>
      </c>
      <c r="U96" s="13"/>
      <c r="V96"/>
      <c r="W96" s="2" t="s">
        <v>31</v>
      </c>
      <c r="X96">
        <v>4</v>
      </c>
      <c r="Y96" t="s">
        <v>95</v>
      </c>
      <c r="Z96" t="s">
        <v>51</v>
      </c>
      <c r="AB96" s="2" t="s">
        <v>96</v>
      </c>
      <c r="AD96" s="5">
        <v>413</v>
      </c>
      <c r="AE96">
        <v>4.4999999999999997E-3</v>
      </c>
      <c r="AH96" s="23" t="s">
        <v>97</v>
      </c>
      <c r="AI96" s="10" t="s">
        <v>98</v>
      </c>
      <c r="AJ96" t="s">
        <v>500</v>
      </c>
      <c r="AK96" s="64" t="s">
        <v>513</v>
      </c>
    </row>
    <row r="97" spans="2:37" ht="17" customHeight="1" x14ac:dyDescent="0.2">
      <c r="B97" s="3" t="s">
        <v>271</v>
      </c>
      <c r="C97">
        <v>19.042999999999999</v>
      </c>
      <c r="E97">
        <v>112.455</v>
      </c>
      <c r="H97"/>
      <c r="K97">
        <v>53</v>
      </c>
      <c r="L97" s="2">
        <v>80</v>
      </c>
      <c r="M97" s="13">
        <v>19.042999999999999</v>
      </c>
      <c r="N97" s="13"/>
      <c r="O97" s="13">
        <v>112.455</v>
      </c>
      <c r="P97" s="18"/>
      <c r="Q97" s="18"/>
      <c r="R97" s="18"/>
      <c r="S97" s="18"/>
      <c r="T97" s="18"/>
      <c r="U97" s="18"/>
      <c r="V97" s="18"/>
      <c r="W97" s="2" t="s">
        <v>154</v>
      </c>
      <c r="Y97" t="s">
        <v>46</v>
      </c>
      <c r="Z97" t="s">
        <v>51</v>
      </c>
      <c r="AC97" s="2">
        <v>40</v>
      </c>
      <c r="AD97" s="5">
        <v>277500</v>
      </c>
      <c r="AF97">
        <v>37.299999999999997</v>
      </c>
      <c r="AH97" s="23" t="s">
        <v>272</v>
      </c>
      <c r="AI97" s="49" t="s">
        <v>273</v>
      </c>
      <c r="AJ97" s="64" t="s">
        <v>501</v>
      </c>
      <c r="AK97" s="64" t="s">
        <v>513</v>
      </c>
    </row>
    <row r="98" spans="2:37" ht="15.75" customHeight="1" x14ac:dyDescent="0.2">
      <c r="B98" s="3" t="s">
        <v>426</v>
      </c>
      <c r="H98"/>
      <c r="I98" s="2">
        <v>64.635000000000005</v>
      </c>
      <c r="K98"/>
      <c r="L98" s="2">
        <v>84</v>
      </c>
      <c r="M98" s="13"/>
      <c r="N98" s="13"/>
      <c r="O98" s="13"/>
      <c r="P98" s="18"/>
      <c r="Q98" s="18"/>
      <c r="R98" s="18"/>
      <c r="S98" s="18">
        <v>64.635000000000005</v>
      </c>
      <c r="T98" s="18"/>
      <c r="U98" s="18"/>
      <c r="V98" s="18"/>
      <c r="W98" t="s">
        <v>31</v>
      </c>
      <c r="Y98" t="s">
        <v>157</v>
      </c>
      <c r="Z98" t="s">
        <v>51</v>
      </c>
      <c r="AB98" s="2" t="s">
        <v>382</v>
      </c>
      <c r="AC98">
        <v>43.8</v>
      </c>
      <c r="AD98" s="5">
        <v>475000</v>
      </c>
      <c r="AF98">
        <v>36.799999999999997</v>
      </c>
      <c r="AH98" s="2" t="s">
        <v>429</v>
      </c>
      <c r="AI98" s="10" t="s">
        <v>428</v>
      </c>
      <c r="AJ98" t="s">
        <v>502</v>
      </c>
      <c r="AK98" s="64" t="s">
        <v>513</v>
      </c>
    </row>
    <row r="99" spans="2:37" ht="15.75" customHeight="1" x14ac:dyDescent="0.2">
      <c r="B99" s="3" t="s">
        <v>223</v>
      </c>
      <c r="C99">
        <v>80.7</v>
      </c>
      <c r="D99">
        <v>45.1</v>
      </c>
      <c r="E99">
        <v>369.6</v>
      </c>
      <c r="F99" s="2">
        <v>212.8</v>
      </c>
      <c r="G99" s="2">
        <f>C99+D99</f>
        <v>125.80000000000001</v>
      </c>
      <c r="H99">
        <f>E99+F99</f>
        <v>582.40000000000009</v>
      </c>
      <c r="I99" s="2">
        <f>C99+D99</f>
        <v>125.80000000000001</v>
      </c>
      <c r="J99" s="2">
        <f>E99+F99</f>
        <v>582.40000000000009</v>
      </c>
      <c r="K99"/>
      <c r="M99" s="13">
        <v>80.7</v>
      </c>
      <c r="N99" s="13">
        <v>45.1</v>
      </c>
      <c r="O99" s="13">
        <v>369.6</v>
      </c>
      <c r="P99" s="18">
        <v>212.8</v>
      </c>
      <c r="Q99" s="18">
        <v>125.8</v>
      </c>
      <c r="R99" s="18">
        <f>O99+P99</f>
        <v>582.40000000000009</v>
      </c>
      <c r="S99" s="18">
        <v>125.8</v>
      </c>
      <c r="T99" s="18">
        <v>582.4</v>
      </c>
      <c r="U99" s="18">
        <f>M99/N99</f>
        <v>1.7893569844789357</v>
      </c>
      <c r="V99" s="18">
        <f>O99/P99</f>
        <v>1.736842105263158</v>
      </c>
      <c r="W99" t="s">
        <v>215</v>
      </c>
      <c r="X99" t="s">
        <v>216</v>
      </c>
      <c r="Y99" t="s">
        <v>217</v>
      </c>
      <c r="Z99" t="s">
        <v>51</v>
      </c>
      <c r="AB99" s="2" t="s">
        <v>34</v>
      </c>
      <c r="AC99">
        <v>39.200000000000003</v>
      </c>
      <c r="AD99" s="5">
        <v>103750</v>
      </c>
      <c r="AF99">
        <v>37.5</v>
      </c>
      <c r="AG99" s="2" t="s">
        <v>35</v>
      </c>
      <c r="AH99" t="s">
        <v>224</v>
      </c>
      <c r="AI99" s="10" t="s">
        <v>218</v>
      </c>
      <c r="AJ99" t="s">
        <v>443</v>
      </c>
      <c r="AK99" s="64" t="s">
        <v>513</v>
      </c>
    </row>
    <row r="100" spans="2:37" ht="15.75" customHeight="1" x14ac:dyDescent="0.2">
      <c r="B100" s="3" t="s">
        <v>144</v>
      </c>
      <c r="H100"/>
      <c r="I100" s="2">
        <v>695</v>
      </c>
      <c r="J100" s="2">
        <v>2414</v>
      </c>
      <c r="K100"/>
      <c r="M100" s="13"/>
      <c r="N100" s="13"/>
      <c r="O100" s="13"/>
      <c r="P100" s="18"/>
      <c r="Q100" s="18"/>
      <c r="R100" s="18"/>
      <c r="S100" s="18">
        <v>695</v>
      </c>
      <c r="T100" s="18">
        <v>2414</v>
      </c>
      <c r="U100" s="18"/>
      <c r="V100" s="18"/>
      <c r="W100" t="s">
        <v>31</v>
      </c>
      <c r="X100">
        <v>11</v>
      </c>
      <c r="Y100" t="s">
        <v>46</v>
      </c>
      <c r="Z100" t="s">
        <v>51</v>
      </c>
      <c r="AA100">
        <v>7456.25</v>
      </c>
      <c r="AB100" s="2" t="s">
        <v>84</v>
      </c>
      <c r="AC100">
        <v>16.3</v>
      </c>
      <c r="AD100" s="5">
        <v>5200</v>
      </c>
      <c r="AE100">
        <v>2.1289999999999998E-3</v>
      </c>
      <c r="AF100">
        <v>38.6</v>
      </c>
      <c r="AH100"/>
      <c r="AI100" s="10" t="s">
        <v>145</v>
      </c>
      <c r="AJ100" t="s">
        <v>503</v>
      </c>
      <c r="AK100" s="64" t="s">
        <v>513</v>
      </c>
    </row>
    <row r="101" spans="2:37" ht="15.75" customHeight="1" x14ac:dyDescent="0.2">
      <c r="B101" s="3" t="s">
        <v>147</v>
      </c>
      <c r="H101"/>
      <c r="I101" s="2">
        <v>475</v>
      </c>
      <c r="J101" s="2">
        <v>2143</v>
      </c>
      <c r="K101"/>
      <c r="M101" s="13"/>
      <c r="N101" s="13"/>
      <c r="O101" s="13"/>
      <c r="P101" s="18"/>
      <c r="Q101" s="18"/>
      <c r="R101" s="18"/>
      <c r="S101" s="18">
        <v>475</v>
      </c>
      <c r="T101" s="18">
        <v>2143</v>
      </c>
      <c r="U101" s="18"/>
      <c r="V101" s="18"/>
      <c r="W101" t="s">
        <v>31</v>
      </c>
      <c r="X101">
        <v>11</v>
      </c>
      <c r="Y101" t="s">
        <v>46</v>
      </c>
      <c r="Z101" t="s">
        <v>51</v>
      </c>
      <c r="AA101">
        <v>7233.33</v>
      </c>
      <c r="AB101" s="2" t="s">
        <v>84</v>
      </c>
      <c r="AC101">
        <v>21.3</v>
      </c>
      <c r="AD101" s="5">
        <v>4132</v>
      </c>
      <c r="AE101">
        <v>2.9979999999999998E-3</v>
      </c>
      <c r="AF101">
        <v>38.700000000000003</v>
      </c>
      <c r="AH101"/>
      <c r="AI101" s="10" t="s">
        <v>148</v>
      </c>
      <c r="AJ101" t="s">
        <v>504</v>
      </c>
      <c r="AK101" s="64" t="s">
        <v>513</v>
      </c>
    </row>
    <row r="102" spans="2:37" ht="15.75" customHeight="1" x14ac:dyDescent="0.2">
      <c r="K102"/>
      <c r="M102" s="13"/>
      <c r="N102" s="13"/>
      <c r="O102" s="13"/>
      <c r="P102" s="18"/>
      <c r="Q102" s="18"/>
      <c r="R102" s="18"/>
      <c r="S102" s="18"/>
      <c r="T102" s="18"/>
      <c r="U102" s="18"/>
      <c r="V102" s="18"/>
    </row>
    <row r="103" spans="2:37" ht="15.75" customHeight="1" x14ac:dyDescent="0.2">
      <c r="K103"/>
      <c r="M103" s="13"/>
      <c r="N103" s="13"/>
      <c r="O103" s="13"/>
      <c r="P103" s="18"/>
      <c r="Q103" s="18"/>
      <c r="R103" s="18"/>
      <c r="S103" s="18"/>
      <c r="T103" s="18"/>
      <c r="U103" s="18"/>
      <c r="V103" s="18"/>
    </row>
    <row r="104" spans="2:37" ht="15.75" customHeight="1" x14ac:dyDescent="0.2">
      <c r="B104" s="3" t="s">
        <v>506</v>
      </c>
      <c r="K104"/>
      <c r="M104" s="13"/>
      <c r="N104" s="13"/>
      <c r="O104" s="13"/>
      <c r="P104" s="18"/>
      <c r="Q104" s="18"/>
      <c r="R104" s="18"/>
      <c r="S104" s="18"/>
      <c r="T104" s="18"/>
      <c r="U104" s="18"/>
      <c r="V104" s="18"/>
    </row>
    <row r="105" spans="2:37" ht="15.75" customHeight="1" x14ac:dyDescent="0.2">
      <c r="B105" s="3" t="s">
        <v>510</v>
      </c>
      <c r="K105"/>
      <c r="M105" s="13"/>
      <c r="N105" s="13"/>
      <c r="O105" s="13"/>
      <c r="P105" s="18"/>
      <c r="Q105" s="18"/>
      <c r="R105" s="18"/>
      <c r="S105" s="18"/>
      <c r="T105" s="18"/>
      <c r="U105" s="18"/>
      <c r="V105" s="18"/>
    </row>
    <row r="106" spans="2:37" ht="15.75" customHeight="1" x14ac:dyDescent="0.2">
      <c r="K106"/>
      <c r="M106" s="13"/>
      <c r="N106" s="13"/>
      <c r="O106" s="13"/>
      <c r="P106" s="18"/>
      <c r="Q106" s="18"/>
      <c r="R106" s="18"/>
      <c r="S106" s="18"/>
      <c r="T106" s="18"/>
      <c r="U106" s="18"/>
      <c r="V106" s="18"/>
    </row>
    <row r="107" spans="2:37" ht="15.75" customHeight="1" x14ac:dyDescent="0.2">
      <c r="K107"/>
      <c r="M107" s="13"/>
      <c r="N107" s="13"/>
      <c r="O107" s="13"/>
      <c r="P107" s="18"/>
      <c r="Q107" s="18"/>
      <c r="R107" s="18"/>
      <c r="S107" s="18"/>
      <c r="T107" s="18"/>
      <c r="U107" s="18"/>
      <c r="V107" s="18"/>
    </row>
    <row r="108" spans="2:37" ht="15.75" customHeight="1" x14ac:dyDescent="0.2">
      <c r="K108"/>
      <c r="M108" s="13"/>
      <c r="N108" s="13"/>
      <c r="O108" s="13"/>
      <c r="P108" s="18"/>
      <c r="Q108" s="18"/>
      <c r="R108" s="18"/>
      <c r="S108" s="18"/>
      <c r="T108" s="18"/>
      <c r="U108" s="18"/>
      <c r="V108" s="18"/>
    </row>
    <row r="109" spans="2:37" ht="15.75" customHeight="1" x14ac:dyDescent="0.2">
      <c r="K109"/>
      <c r="M109" s="13"/>
      <c r="N109" s="13"/>
      <c r="O109" s="13"/>
      <c r="P109" s="18"/>
      <c r="Q109" s="18"/>
      <c r="R109" s="18"/>
      <c r="S109" s="18"/>
      <c r="T109" s="18"/>
      <c r="U109" s="18"/>
      <c r="V109" s="18"/>
    </row>
    <row r="110" spans="2:37" ht="15.75" customHeight="1" x14ac:dyDescent="0.2">
      <c r="K110"/>
      <c r="M110" s="13"/>
      <c r="N110" s="13"/>
      <c r="O110" s="13"/>
      <c r="P110" s="18"/>
      <c r="Q110" s="18"/>
      <c r="R110" s="18"/>
      <c r="S110" s="18"/>
      <c r="T110" s="18"/>
      <c r="U110" s="18"/>
      <c r="V110" s="18"/>
    </row>
    <row r="111" spans="2:37" ht="15.75" customHeight="1" x14ac:dyDescent="0.2">
      <c r="K111"/>
      <c r="M111" s="13"/>
      <c r="N111" s="13"/>
      <c r="O111" s="13"/>
      <c r="P111" s="18"/>
      <c r="Q111" s="18"/>
      <c r="R111" s="18"/>
      <c r="S111" s="18"/>
      <c r="T111" s="18"/>
      <c r="U111" s="18"/>
      <c r="V111" s="18"/>
    </row>
    <row r="112" spans="2:37" ht="15.75" customHeight="1" x14ac:dyDescent="0.2">
      <c r="K112"/>
      <c r="M112" s="13"/>
      <c r="N112" s="13"/>
      <c r="O112" s="13"/>
      <c r="P112" s="18"/>
      <c r="Q112" s="18"/>
      <c r="R112" s="18"/>
      <c r="S112" s="18"/>
      <c r="T112" s="18"/>
      <c r="U112" s="18"/>
      <c r="V112" s="18"/>
    </row>
    <row r="113" spans="11:22" ht="15.75" customHeight="1" x14ac:dyDescent="0.2">
      <c r="K113"/>
      <c r="M113" s="13"/>
      <c r="N113" s="13"/>
      <c r="O113" s="13"/>
      <c r="P113" s="18"/>
      <c r="Q113" s="18"/>
      <c r="R113" s="18"/>
      <c r="S113" s="18"/>
      <c r="T113" s="18"/>
      <c r="U113" s="18"/>
      <c r="V113" s="18"/>
    </row>
    <row r="114" spans="11:22" ht="15.75" customHeight="1" x14ac:dyDescent="0.2">
      <c r="K114"/>
      <c r="M114" s="13"/>
      <c r="N114" s="13"/>
      <c r="O114" s="13"/>
      <c r="P114" s="18"/>
      <c r="Q114" s="18"/>
      <c r="R114" s="18"/>
      <c r="S114" s="18"/>
      <c r="T114" s="18"/>
      <c r="U114" s="18"/>
      <c r="V114" s="18"/>
    </row>
    <row r="115" spans="11:22" ht="15.75" customHeight="1" x14ac:dyDescent="0.2">
      <c r="K115"/>
      <c r="M115" s="13"/>
      <c r="N115" s="13"/>
      <c r="O115" s="13"/>
      <c r="P115" s="18"/>
      <c r="Q115" s="18"/>
      <c r="R115" s="18"/>
      <c r="S115" s="18"/>
      <c r="T115" s="18"/>
      <c r="U115" s="18"/>
      <c r="V115" s="18"/>
    </row>
    <row r="116" spans="11:22" ht="15.75" customHeight="1" x14ac:dyDescent="0.2">
      <c r="K116"/>
      <c r="M116" s="13"/>
      <c r="N116" s="13"/>
      <c r="O116" s="13"/>
      <c r="P116" s="18"/>
      <c r="Q116" s="18"/>
      <c r="R116" s="18"/>
      <c r="S116" s="18"/>
      <c r="T116" s="18"/>
      <c r="U116" s="18"/>
      <c r="V116" s="18"/>
    </row>
    <row r="117" spans="11:22" ht="15.75" customHeight="1" x14ac:dyDescent="0.2">
      <c r="K117"/>
      <c r="M117" s="13"/>
      <c r="N117" s="13"/>
      <c r="O117" s="13"/>
      <c r="P117" s="18"/>
      <c r="Q117" s="18"/>
      <c r="R117" s="18"/>
      <c r="S117" s="18"/>
      <c r="T117" s="18"/>
      <c r="U117" s="18"/>
      <c r="V117" s="18"/>
    </row>
    <row r="118" spans="11:22" ht="15.75" customHeight="1" x14ac:dyDescent="0.2">
      <c r="K118"/>
      <c r="M118" s="13"/>
      <c r="N118" s="13"/>
      <c r="O118" s="13"/>
      <c r="P118" s="18"/>
      <c r="Q118" s="18"/>
      <c r="S118" s="18"/>
      <c r="T118" s="18"/>
      <c r="U118" s="18"/>
      <c r="V118" s="18"/>
    </row>
    <row r="119" spans="11:22" ht="15.75" customHeight="1" x14ac:dyDescent="0.2">
      <c r="K119"/>
      <c r="M119" s="13"/>
      <c r="N119" s="13"/>
      <c r="O119" s="13"/>
      <c r="P119" s="18"/>
      <c r="Q119" s="18"/>
      <c r="R119" s="18"/>
      <c r="S119" s="18"/>
      <c r="T119" s="18"/>
      <c r="U119" s="18"/>
      <c r="V119" s="18"/>
    </row>
    <row r="120" spans="11:22" ht="15.75" customHeight="1" x14ac:dyDescent="0.2">
      <c r="K120"/>
      <c r="M120" s="13"/>
      <c r="N120" s="13"/>
      <c r="O120" s="13"/>
      <c r="P120" s="18"/>
      <c r="Q120" s="18"/>
      <c r="R120" s="18"/>
      <c r="S120" s="18"/>
      <c r="T120" s="18"/>
      <c r="U120" s="18"/>
      <c r="V120" s="18"/>
    </row>
    <row r="121" spans="11:22" ht="15.75" customHeight="1" x14ac:dyDescent="0.2">
      <c r="K121"/>
      <c r="M121" s="13"/>
      <c r="N121" s="13"/>
      <c r="O121" s="13"/>
      <c r="P121" s="18"/>
      <c r="Q121" s="18"/>
      <c r="R121" s="18"/>
      <c r="S121" s="18"/>
      <c r="T121" s="18"/>
      <c r="U121" s="18"/>
      <c r="V121" s="18"/>
    </row>
    <row r="122" spans="11:22" ht="15.75" customHeight="1" x14ac:dyDescent="0.2">
      <c r="K122"/>
      <c r="M122" s="13"/>
      <c r="N122" s="13"/>
      <c r="O122" s="13"/>
      <c r="P122" s="18"/>
      <c r="Q122" s="18"/>
      <c r="R122" s="18"/>
      <c r="S122" s="18"/>
      <c r="T122" s="18"/>
      <c r="U122" s="18"/>
      <c r="V122" s="18"/>
    </row>
    <row r="123" spans="11:22" ht="15.75" customHeight="1" x14ac:dyDescent="0.2">
      <c r="K123"/>
      <c r="M123" s="13"/>
      <c r="N123" s="13"/>
      <c r="O123" s="13"/>
      <c r="P123" s="18"/>
      <c r="Q123" s="18"/>
      <c r="R123" s="18"/>
      <c r="S123" s="18"/>
      <c r="T123" s="18"/>
      <c r="U123" s="18"/>
      <c r="V123" s="18"/>
    </row>
    <row r="124" spans="11:22" ht="15.75" customHeight="1" x14ac:dyDescent="0.2">
      <c r="K124"/>
      <c r="M124" s="13"/>
      <c r="N124" s="13"/>
      <c r="O124" s="13"/>
      <c r="P124" s="18"/>
      <c r="Q124" s="18"/>
      <c r="R124" s="18"/>
      <c r="S124" s="18"/>
      <c r="T124" s="18"/>
      <c r="U124" s="18"/>
      <c r="V124" s="18"/>
    </row>
    <row r="125" spans="11:22" ht="15.75" customHeight="1" x14ac:dyDescent="0.2">
      <c r="K125"/>
      <c r="M125" s="13"/>
      <c r="N125" s="13"/>
      <c r="O125" s="13"/>
      <c r="P125" s="18"/>
      <c r="Q125" s="18"/>
      <c r="R125" s="18"/>
      <c r="S125" s="18"/>
      <c r="T125" s="18"/>
      <c r="U125" s="18"/>
      <c r="V125" s="18"/>
    </row>
    <row r="126" spans="11:22" ht="15.75" customHeight="1" x14ac:dyDescent="0.2">
      <c r="K126"/>
      <c r="M126" s="13"/>
      <c r="N126" s="13"/>
      <c r="O126" s="13"/>
      <c r="P126" s="18"/>
      <c r="Q126" s="18"/>
      <c r="R126" s="18"/>
      <c r="S126" s="18"/>
      <c r="T126" s="18"/>
      <c r="U126" s="18"/>
      <c r="V126" s="18"/>
    </row>
    <row r="127" spans="11:22" ht="15.75" customHeight="1" x14ac:dyDescent="0.2">
      <c r="K127"/>
      <c r="M127" s="13"/>
      <c r="N127" s="13"/>
      <c r="O127" s="13"/>
      <c r="P127" s="18"/>
      <c r="Q127" s="18"/>
      <c r="R127" s="18"/>
      <c r="S127" s="18"/>
      <c r="T127" s="18"/>
      <c r="U127" s="18"/>
      <c r="V127" s="18"/>
    </row>
    <row r="128" spans="11:22" ht="15.75" customHeight="1" x14ac:dyDescent="0.2">
      <c r="K128"/>
      <c r="M128" s="13"/>
      <c r="N128" s="13"/>
      <c r="O128" s="13"/>
      <c r="P128" s="18"/>
      <c r="Q128" s="18"/>
      <c r="R128" s="18"/>
      <c r="S128" s="18"/>
      <c r="T128" s="18"/>
      <c r="U128" s="18"/>
      <c r="V128" s="18"/>
    </row>
    <row r="129" spans="11:22" ht="15.75" customHeight="1" x14ac:dyDescent="0.2">
      <c r="K129"/>
      <c r="M129" s="13"/>
      <c r="N129" s="13"/>
      <c r="O129" s="13"/>
      <c r="P129" s="18"/>
      <c r="Q129" s="18"/>
      <c r="R129" s="18"/>
      <c r="S129" s="18"/>
      <c r="T129" s="18"/>
      <c r="U129" s="18"/>
      <c r="V129" s="18"/>
    </row>
    <row r="130" spans="11:22" ht="15.75" customHeight="1" x14ac:dyDescent="0.2">
      <c r="K130"/>
      <c r="M130" s="13"/>
      <c r="N130" s="13"/>
      <c r="O130" s="13"/>
      <c r="P130" s="18"/>
      <c r="Q130" s="18"/>
      <c r="R130" s="18"/>
      <c r="S130" s="18"/>
      <c r="T130" s="18"/>
      <c r="U130" s="18"/>
      <c r="V130" s="18"/>
    </row>
    <row r="131" spans="11:22" ht="15.75" customHeight="1" x14ac:dyDescent="0.2">
      <c r="K131"/>
      <c r="M131" s="13"/>
      <c r="N131" s="13"/>
      <c r="O131" s="13"/>
      <c r="P131" s="18"/>
      <c r="Q131" s="18"/>
      <c r="R131" s="18"/>
      <c r="S131" s="18"/>
      <c r="T131" s="18"/>
      <c r="U131" s="18"/>
      <c r="V131" s="18"/>
    </row>
    <row r="132" spans="11:22" ht="15.75" customHeight="1" x14ac:dyDescent="0.2">
      <c r="K132"/>
      <c r="M132" s="13"/>
      <c r="N132" s="13"/>
      <c r="O132" s="13"/>
      <c r="P132" s="18"/>
      <c r="Q132" s="18"/>
      <c r="R132" s="18"/>
      <c r="S132" s="18"/>
      <c r="T132" s="18"/>
      <c r="U132" s="18"/>
      <c r="V132" s="18"/>
    </row>
    <row r="133" spans="11:22" ht="15.75" customHeight="1" x14ac:dyDescent="0.2">
      <c r="K133"/>
      <c r="M133" s="13"/>
      <c r="N133" s="13"/>
      <c r="O133" s="13"/>
      <c r="P133" s="18"/>
      <c r="Q133" s="18"/>
      <c r="R133" s="18"/>
      <c r="S133" s="18"/>
      <c r="T133" s="18"/>
      <c r="U133" s="18"/>
      <c r="V133" s="18"/>
    </row>
    <row r="134" spans="11:22" ht="15.75" customHeight="1" x14ac:dyDescent="0.2">
      <c r="K134"/>
      <c r="M134" s="13"/>
      <c r="N134" s="13"/>
      <c r="O134" s="13"/>
      <c r="P134" s="18"/>
      <c r="Q134" s="18"/>
      <c r="R134" s="18"/>
      <c r="S134" s="18"/>
      <c r="T134" s="18"/>
      <c r="U134" s="18"/>
      <c r="V134" s="18"/>
    </row>
    <row r="135" spans="11:22" ht="15.75" customHeight="1" x14ac:dyDescent="0.2">
      <c r="K135"/>
      <c r="M135" s="13"/>
      <c r="N135" s="13"/>
      <c r="O135" s="13"/>
      <c r="P135" s="18"/>
      <c r="Q135" s="18"/>
      <c r="R135" s="18"/>
      <c r="S135" s="18"/>
      <c r="T135" s="18"/>
      <c r="U135" s="18"/>
      <c r="V135" s="18"/>
    </row>
    <row r="136" spans="11:22" ht="15.75" customHeight="1" x14ac:dyDescent="0.2">
      <c r="K136"/>
      <c r="M136" s="13"/>
      <c r="N136" s="13"/>
      <c r="O136" s="13"/>
      <c r="P136" s="18"/>
      <c r="Q136" s="18"/>
      <c r="R136" s="18"/>
      <c r="S136" s="18"/>
      <c r="T136" s="18"/>
      <c r="U136" s="18"/>
      <c r="V136" s="18"/>
    </row>
    <row r="137" spans="11:22" ht="15.75" customHeight="1" x14ac:dyDescent="0.2">
      <c r="K137"/>
      <c r="M137" s="13"/>
      <c r="N137" s="13"/>
      <c r="O137" s="13"/>
      <c r="P137" s="18"/>
      <c r="Q137" s="18"/>
      <c r="R137" s="18"/>
      <c r="S137" s="18"/>
      <c r="T137" s="18"/>
      <c r="U137" s="18"/>
      <c r="V137" s="18"/>
    </row>
    <row r="138" spans="11:22" ht="15.75" customHeight="1" x14ac:dyDescent="0.2">
      <c r="K138"/>
      <c r="M138" s="13"/>
      <c r="N138" s="13"/>
      <c r="O138" s="13"/>
      <c r="P138" s="18"/>
      <c r="Q138" s="18"/>
      <c r="R138" s="18"/>
      <c r="S138" s="18"/>
      <c r="T138" s="18"/>
      <c r="U138" s="18"/>
      <c r="V138" s="18"/>
    </row>
    <row r="139" spans="11:22" ht="15.75" customHeight="1" x14ac:dyDescent="0.2">
      <c r="K139"/>
      <c r="M139" s="13"/>
      <c r="N139" s="13"/>
      <c r="O139" s="13"/>
      <c r="P139" s="18"/>
      <c r="Q139" s="18"/>
      <c r="R139" s="18"/>
      <c r="S139" s="18"/>
      <c r="T139" s="18"/>
      <c r="U139" s="18"/>
      <c r="V139" s="18"/>
    </row>
    <row r="140" spans="11:22" ht="15.75" customHeight="1" x14ac:dyDescent="0.2">
      <c r="K140"/>
      <c r="M140" s="13"/>
      <c r="N140" s="13"/>
      <c r="O140" s="13"/>
      <c r="P140" s="18"/>
      <c r="Q140" s="18"/>
      <c r="R140" s="18"/>
      <c r="S140" s="18"/>
      <c r="T140" s="18"/>
      <c r="U140" s="18"/>
      <c r="V140" s="18"/>
    </row>
    <row r="141" spans="11:22" ht="15.75" customHeight="1" x14ac:dyDescent="0.2">
      <c r="K141"/>
      <c r="M141" s="13"/>
      <c r="N141" s="13"/>
      <c r="O141" s="13"/>
      <c r="P141" s="18"/>
      <c r="Q141" s="18"/>
      <c r="R141" s="18"/>
      <c r="S141" s="18"/>
      <c r="T141" s="18"/>
      <c r="U141" s="18"/>
      <c r="V141" s="18"/>
    </row>
    <row r="142" spans="11:22" ht="15.75" customHeight="1" x14ac:dyDescent="0.2">
      <c r="K142"/>
      <c r="M142" s="13"/>
      <c r="N142" s="13"/>
      <c r="O142" s="13"/>
      <c r="P142" s="18"/>
      <c r="Q142" s="18"/>
      <c r="R142" s="18"/>
      <c r="S142" s="18"/>
      <c r="T142" s="18"/>
      <c r="U142" s="18"/>
      <c r="V142" s="18"/>
    </row>
    <row r="143" spans="11:22" ht="15.75" customHeight="1" x14ac:dyDescent="0.2">
      <c r="K143"/>
      <c r="M143" s="13"/>
      <c r="N143" s="13"/>
      <c r="O143" s="13"/>
      <c r="P143" s="18"/>
      <c r="Q143" s="18"/>
      <c r="R143" s="18"/>
      <c r="S143" s="18"/>
      <c r="T143" s="18"/>
      <c r="U143" s="18"/>
      <c r="V143" s="18"/>
    </row>
    <row r="144" spans="11:22" ht="15.75" customHeight="1" x14ac:dyDescent="0.2">
      <c r="K144"/>
      <c r="M144" s="13"/>
      <c r="N144" s="13"/>
      <c r="O144" s="13"/>
      <c r="P144" s="18"/>
      <c r="Q144" s="18"/>
      <c r="R144" s="18"/>
      <c r="S144" s="18"/>
      <c r="T144" s="18"/>
      <c r="U144" s="18"/>
      <c r="V144" s="18"/>
    </row>
    <row r="145" spans="7:29" ht="16" x14ac:dyDescent="0.2">
      <c r="G145"/>
      <c r="H145"/>
      <c r="I145"/>
      <c r="K145"/>
      <c r="M145" s="13"/>
      <c r="N145" s="13"/>
      <c r="O145" s="13"/>
      <c r="P145" s="18"/>
      <c r="Q145" s="13"/>
      <c r="R145" s="13"/>
      <c r="S145" s="13"/>
      <c r="T145" s="18"/>
      <c r="U145" s="13"/>
      <c r="V145" s="13"/>
      <c r="W145"/>
      <c r="AC145"/>
    </row>
    <row r="146" spans="7:29" ht="16" x14ac:dyDescent="0.2">
      <c r="G146"/>
      <c r="H146"/>
      <c r="I146"/>
      <c r="K146"/>
      <c r="M146" s="13"/>
      <c r="N146" s="13"/>
      <c r="O146" s="13"/>
      <c r="P146" s="18"/>
      <c r="Q146" s="13"/>
      <c r="R146" s="13"/>
      <c r="S146" s="13"/>
      <c r="T146" s="18"/>
      <c r="U146" s="13"/>
      <c r="V146" s="13"/>
      <c r="W146"/>
      <c r="AC146"/>
    </row>
    <row r="147" spans="7:29" ht="16" x14ac:dyDescent="0.2">
      <c r="G147"/>
      <c r="H147"/>
      <c r="I147"/>
      <c r="K147"/>
      <c r="M147" s="13"/>
      <c r="N147" s="13"/>
      <c r="O147" s="13"/>
      <c r="P147" s="18"/>
      <c r="Q147" s="13"/>
      <c r="R147" s="13"/>
      <c r="S147" s="13"/>
      <c r="T147" s="18"/>
      <c r="U147" s="13"/>
      <c r="V147" s="13"/>
      <c r="W147"/>
      <c r="AC147"/>
    </row>
    <row r="148" spans="7:29" ht="16" x14ac:dyDescent="0.2">
      <c r="G148"/>
      <c r="H148"/>
      <c r="I148"/>
      <c r="K148"/>
      <c r="M148" s="13"/>
      <c r="N148" s="13"/>
      <c r="O148" s="13"/>
      <c r="P148" s="18"/>
      <c r="Q148" s="13"/>
      <c r="R148" s="13"/>
      <c r="S148" s="13"/>
      <c r="T148" s="18"/>
      <c r="U148" s="13"/>
      <c r="V148" s="13"/>
      <c r="W148"/>
      <c r="AC148"/>
    </row>
    <row r="149" spans="7:29" ht="16" x14ac:dyDescent="0.2">
      <c r="G149"/>
      <c r="H149"/>
      <c r="I149"/>
      <c r="K149"/>
      <c r="M149" s="13"/>
      <c r="N149" s="13"/>
      <c r="O149" s="13"/>
      <c r="P149" s="18"/>
      <c r="Q149" s="13"/>
      <c r="R149" s="13"/>
      <c r="S149" s="13"/>
      <c r="T149" s="18"/>
      <c r="U149" s="13"/>
      <c r="V149" s="13"/>
      <c r="W149"/>
      <c r="AC149"/>
    </row>
    <row r="150" spans="7:29" ht="16" x14ac:dyDescent="0.2">
      <c r="G150"/>
      <c r="H150"/>
      <c r="I150"/>
      <c r="K150"/>
      <c r="M150" s="13"/>
      <c r="N150" s="13"/>
      <c r="O150" s="13"/>
      <c r="P150" s="18"/>
      <c r="Q150" s="13"/>
      <c r="R150" s="13"/>
      <c r="S150" s="13"/>
      <c r="T150" s="18"/>
      <c r="U150" s="13"/>
      <c r="V150" s="13"/>
      <c r="W150"/>
      <c r="AC150"/>
    </row>
    <row r="151" spans="7:29" ht="16" x14ac:dyDescent="0.2">
      <c r="G151"/>
      <c r="H151"/>
      <c r="I151"/>
      <c r="K151"/>
      <c r="M151" s="13"/>
      <c r="N151" s="13"/>
      <c r="O151" s="13"/>
      <c r="P151" s="18"/>
      <c r="Q151" s="13"/>
      <c r="R151" s="13"/>
      <c r="S151" s="13"/>
      <c r="T151" s="18"/>
      <c r="U151" s="13"/>
      <c r="V151" s="13"/>
      <c r="W151"/>
      <c r="AC151"/>
    </row>
    <row r="152" spans="7:29" ht="16" x14ac:dyDescent="0.2">
      <c r="G152"/>
      <c r="H152"/>
      <c r="I152"/>
      <c r="K152"/>
      <c r="M152" s="13"/>
      <c r="N152" s="13"/>
      <c r="O152" s="13"/>
      <c r="P152" s="18"/>
      <c r="Q152" s="13"/>
      <c r="R152" s="13"/>
      <c r="S152" s="13"/>
      <c r="T152" s="18"/>
      <c r="U152" s="13"/>
      <c r="V152" s="13"/>
      <c r="W152"/>
      <c r="AC152"/>
    </row>
    <row r="153" spans="7:29" ht="16" x14ac:dyDescent="0.2">
      <c r="G153"/>
      <c r="H153"/>
      <c r="I153"/>
      <c r="K153"/>
      <c r="M153" s="13"/>
      <c r="N153" s="13"/>
      <c r="O153" s="13"/>
      <c r="P153" s="18"/>
      <c r="Q153" s="13"/>
      <c r="R153" s="13"/>
      <c r="S153" s="13"/>
      <c r="T153" s="18"/>
      <c r="U153" s="13"/>
      <c r="V153" s="13"/>
      <c r="W153"/>
      <c r="AC153"/>
    </row>
    <row r="154" spans="7:29" ht="16" x14ac:dyDescent="0.2">
      <c r="G154"/>
      <c r="H154"/>
      <c r="I154"/>
      <c r="K154"/>
      <c r="M154" s="13"/>
      <c r="N154" s="13"/>
      <c r="O154" s="13"/>
      <c r="P154" s="18"/>
      <c r="Q154" s="13"/>
      <c r="R154" s="13"/>
      <c r="S154" s="13"/>
      <c r="T154" s="18"/>
      <c r="U154" s="13"/>
      <c r="V154" s="13"/>
      <c r="W154"/>
      <c r="AC154"/>
    </row>
    <row r="155" spans="7:29" ht="16" x14ac:dyDescent="0.2">
      <c r="G155"/>
      <c r="H155"/>
      <c r="I155"/>
      <c r="K155"/>
      <c r="M155" s="13"/>
      <c r="N155" s="13"/>
      <c r="O155" s="13"/>
      <c r="P155" s="18"/>
      <c r="Q155" s="13"/>
      <c r="R155" s="13"/>
      <c r="S155" s="13"/>
      <c r="T155" s="18"/>
      <c r="U155" s="13"/>
      <c r="V155" s="13"/>
      <c r="W155"/>
      <c r="AC155"/>
    </row>
    <row r="156" spans="7:29" ht="16" x14ac:dyDescent="0.2">
      <c r="G156"/>
      <c r="H156"/>
      <c r="I156"/>
      <c r="K156"/>
      <c r="M156" s="13"/>
      <c r="N156" s="13"/>
      <c r="O156" s="13"/>
      <c r="P156" s="18"/>
      <c r="Q156" s="13"/>
      <c r="R156" s="13"/>
      <c r="S156" s="13"/>
      <c r="T156" s="18"/>
      <c r="U156" s="13"/>
      <c r="V156" s="13"/>
      <c r="W156"/>
      <c r="AC156"/>
    </row>
    <row r="157" spans="7:29" ht="16" x14ac:dyDescent="0.2">
      <c r="G157"/>
      <c r="H157"/>
      <c r="I157"/>
      <c r="K157"/>
      <c r="M157" s="13"/>
      <c r="N157" s="13"/>
      <c r="O157" s="13"/>
      <c r="P157" s="18"/>
      <c r="Q157" s="13"/>
      <c r="R157" s="13"/>
      <c r="S157" s="13"/>
      <c r="T157" s="18"/>
      <c r="U157" s="13"/>
      <c r="V157" s="13"/>
      <c r="W157"/>
      <c r="AC157"/>
    </row>
    <row r="158" spans="7:29" ht="16" x14ac:dyDescent="0.2">
      <c r="G158"/>
      <c r="H158"/>
      <c r="I158"/>
      <c r="K158"/>
      <c r="M158" s="13"/>
      <c r="N158" s="13"/>
      <c r="O158" s="13"/>
      <c r="P158" s="18"/>
      <c r="Q158" s="13"/>
      <c r="R158" s="13"/>
      <c r="S158" s="13"/>
      <c r="T158" s="18"/>
      <c r="U158" s="13"/>
      <c r="V158" s="13"/>
      <c r="W158"/>
      <c r="AC158"/>
    </row>
    <row r="159" spans="7:29" ht="16" x14ac:dyDescent="0.2">
      <c r="G159"/>
      <c r="H159"/>
      <c r="I159"/>
      <c r="K159"/>
      <c r="M159" s="13"/>
      <c r="N159" s="13"/>
      <c r="O159" s="13"/>
      <c r="P159" s="18"/>
      <c r="Q159" s="13"/>
      <c r="R159" s="13"/>
      <c r="S159" s="13"/>
      <c r="T159" s="18"/>
      <c r="U159" s="13"/>
      <c r="V159" s="13"/>
      <c r="W159"/>
      <c r="AC159"/>
    </row>
    <row r="160" spans="7:29" ht="16" x14ac:dyDescent="0.2">
      <c r="G160"/>
      <c r="H160"/>
      <c r="I160"/>
      <c r="K160"/>
      <c r="M160" s="13"/>
      <c r="N160" s="13"/>
      <c r="O160" s="13"/>
      <c r="P160" s="18"/>
      <c r="Q160" s="13"/>
      <c r="R160" s="13"/>
      <c r="S160" s="13"/>
      <c r="T160" s="18"/>
      <c r="U160" s="13"/>
      <c r="V160" s="13"/>
      <c r="W160"/>
      <c r="AC160"/>
    </row>
    <row r="161" spans="7:29" ht="16" x14ac:dyDescent="0.2">
      <c r="G161"/>
      <c r="H161"/>
      <c r="I161"/>
      <c r="K161"/>
      <c r="M161" s="13"/>
      <c r="N161" s="13"/>
      <c r="O161" s="13"/>
      <c r="P161" s="18"/>
      <c r="Q161" s="13"/>
      <c r="R161" s="13"/>
      <c r="S161" s="13"/>
      <c r="T161" s="18"/>
      <c r="U161" s="13"/>
      <c r="V161" s="13"/>
      <c r="W161"/>
      <c r="AC161"/>
    </row>
    <row r="162" spans="7:29" ht="16" x14ac:dyDescent="0.2">
      <c r="G162"/>
      <c r="H162"/>
      <c r="I162"/>
      <c r="K162"/>
      <c r="M162" s="13"/>
      <c r="N162" s="13"/>
      <c r="O162" s="13"/>
      <c r="P162" s="18"/>
      <c r="Q162" s="13"/>
      <c r="R162" s="13"/>
      <c r="S162" s="13"/>
      <c r="T162" s="18"/>
      <c r="U162" s="13"/>
      <c r="V162" s="13"/>
      <c r="W162"/>
      <c r="AC162"/>
    </row>
    <row r="163" spans="7:29" ht="16" x14ac:dyDescent="0.2">
      <c r="G163"/>
      <c r="H163"/>
      <c r="I163"/>
      <c r="K163"/>
      <c r="M163" s="13"/>
      <c r="N163" s="13"/>
      <c r="O163" s="13"/>
      <c r="P163" s="18"/>
      <c r="Q163" s="13"/>
      <c r="R163" s="13"/>
      <c r="S163" s="13"/>
      <c r="T163" s="18"/>
      <c r="U163" s="13"/>
      <c r="V163" s="13"/>
      <c r="W163"/>
      <c r="AC163"/>
    </row>
    <row r="164" spans="7:29" ht="16" x14ac:dyDescent="0.2">
      <c r="G164"/>
      <c r="H164"/>
      <c r="I164"/>
      <c r="K164"/>
      <c r="M164" s="13"/>
      <c r="N164" s="13"/>
      <c r="O164" s="13"/>
      <c r="P164" s="18"/>
      <c r="Q164" s="13"/>
      <c r="R164" s="13"/>
      <c r="S164" s="13"/>
      <c r="T164" s="18"/>
      <c r="U164" s="13"/>
      <c r="V164" s="13"/>
      <c r="W164"/>
      <c r="AC164"/>
    </row>
    <row r="165" spans="7:29" ht="16" x14ac:dyDescent="0.2">
      <c r="G165"/>
      <c r="H165"/>
      <c r="I165"/>
      <c r="K165"/>
      <c r="M165" s="13"/>
      <c r="N165" s="13"/>
      <c r="O165" s="13"/>
      <c r="P165" s="18"/>
      <c r="Q165" s="13"/>
      <c r="R165" s="13"/>
      <c r="S165" s="13"/>
      <c r="T165" s="18"/>
      <c r="U165" s="13"/>
      <c r="V165" s="13"/>
      <c r="W165"/>
      <c r="AC165"/>
    </row>
    <row r="166" spans="7:29" ht="16" x14ac:dyDescent="0.2">
      <c r="G166"/>
      <c r="H166"/>
      <c r="I166"/>
      <c r="K166"/>
      <c r="M166" s="13"/>
      <c r="N166" s="13"/>
      <c r="O166" s="13"/>
      <c r="P166" s="18"/>
      <c r="Q166" s="13"/>
      <c r="R166" s="13"/>
      <c r="S166" s="13"/>
      <c r="T166" s="18"/>
      <c r="U166" s="13"/>
      <c r="V166" s="13"/>
      <c r="W166"/>
      <c r="AC166"/>
    </row>
    <row r="167" spans="7:29" ht="16" x14ac:dyDescent="0.2">
      <c r="G167"/>
      <c r="H167"/>
      <c r="I167"/>
      <c r="K167"/>
      <c r="M167" s="13"/>
      <c r="N167" s="13"/>
      <c r="O167" s="13"/>
      <c r="P167" s="18"/>
      <c r="Q167" s="13"/>
      <c r="R167" s="13"/>
      <c r="S167" s="13"/>
      <c r="T167" s="18"/>
      <c r="U167" s="13"/>
      <c r="V167" s="13"/>
      <c r="W167"/>
      <c r="AC167"/>
    </row>
    <row r="168" spans="7:29" ht="16" x14ac:dyDescent="0.2">
      <c r="G168"/>
      <c r="H168"/>
      <c r="I168"/>
      <c r="K168"/>
      <c r="M168" s="13"/>
      <c r="N168" s="13"/>
      <c r="O168" s="13"/>
      <c r="P168" s="18"/>
      <c r="Q168" s="13"/>
      <c r="R168" s="13"/>
      <c r="S168" s="13"/>
      <c r="T168" s="18"/>
      <c r="U168" s="13"/>
      <c r="V168" s="13"/>
      <c r="W168"/>
      <c r="AC168"/>
    </row>
    <row r="169" spans="7:29" ht="16" x14ac:dyDescent="0.2">
      <c r="G169"/>
      <c r="H169"/>
      <c r="I169"/>
      <c r="K169"/>
      <c r="M169" s="13"/>
      <c r="N169" s="13"/>
      <c r="O169" s="13"/>
      <c r="P169" s="18"/>
      <c r="Q169" s="13"/>
      <c r="R169" s="13"/>
      <c r="S169" s="13"/>
      <c r="T169" s="18"/>
      <c r="U169" s="13"/>
      <c r="V169" s="13"/>
      <c r="W169"/>
      <c r="AC169"/>
    </row>
    <row r="170" spans="7:29" ht="16" x14ac:dyDescent="0.2">
      <c r="G170"/>
      <c r="H170"/>
      <c r="I170"/>
      <c r="K170"/>
      <c r="M170" s="13"/>
      <c r="N170" s="13"/>
      <c r="O170" s="13"/>
      <c r="P170" s="18"/>
      <c r="Q170" s="13"/>
      <c r="R170" s="13"/>
      <c r="S170" s="13"/>
      <c r="T170" s="18"/>
      <c r="U170" s="13"/>
      <c r="V170" s="13"/>
      <c r="W170"/>
      <c r="AC170"/>
    </row>
    <row r="171" spans="7:29" ht="16" x14ac:dyDescent="0.2">
      <c r="G171"/>
      <c r="H171"/>
      <c r="I171"/>
      <c r="K171"/>
      <c r="M171" s="13"/>
      <c r="N171" s="13"/>
      <c r="O171" s="13"/>
      <c r="P171" s="18"/>
      <c r="Q171" s="13"/>
      <c r="R171" s="13"/>
      <c r="S171" s="13"/>
      <c r="T171" s="18"/>
      <c r="U171" s="13"/>
      <c r="V171" s="13"/>
      <c r="W171"/>
      <c r="AC171"/>
    </row>
    <row r="172" spans="7:29" ht="16" x14ac:dyDescent="0.2">
      <c r="G172"/>
      <c r="H172"/>
      <c r="I172"/>
      <c r="K172"/>
      <c r="M172" s="13"/>
      <c r="N172" s="13"/>
      <c r="O172" s="13"/>
      <c r="P172" s="18"/>
      <c r="Q172" s="13"/>
      <c r="R172" s="13"/>
      <c r="S172" s="13"/>
      <c r="T172" s="18"/>
      <c r="U172" s="13"/>
      <c r="V172" s="13"/>
      <c r="W172"/>
      <c r="AC172"/>
    </row>
    <row r="173" spans="7:29" ht="16" x14ac:dyDescent="0.2">
      <c r="G173"/>
      <c r="H173"/>
      <c r="I173"/>
      <c r="K173"/>
      <c r="M173" s="13"/>
      <c r="N173" s="13"/>
      <c r="O173" s="13"/>
      <c r="P173" s="18"/>
      <c r="Q173" s="13"/>
      <c r="R173" s="13"/>
      <c r="S173" s="13"/>
      <c r="T173" s="18"/>
      <c r="U173" s="13"/>
      <c r="V173" s="13"/>
      <c r="W173"/>
      <c r="AC173"/>
    </row>
    <row r="174" spans="7:29" ht="16" x14ac:dyDescent="0.2">
      <c r="G174"/>
      <c r="H174"/>
      <c r="I174"/>
      <c r="K174"/>
      <c r="M174" s="13"/>
      <c r="N174" s="13"/>
      <c r="O174" s="13"/>
      <c r="P174" s="18"/>
      <c r="Q174" s="13"/>
      <c r="R174" s="13"/>
      <c r="S174" s="13"/>
      <c r="T174" s="18"/>
      <c r="U174" s="13"/>
      <c r="V174" s="13"/>
      <c r="W174"/>
      <c r="AC174"/>
    </row>
    <row r="175" spans="7:29" ht="16" x14ac:dyDescent="0.2">
      <c r="G175"/>
      <c r="H175"/>
      <c r="I175"/>
      <c r="K175"/>
      <c r="M175" s="13"/>
      <c r="N175" s="13"/>
      <c r="O175" s="13"/>
      <c r="P175" s="18"/>
      <c r="Q175" s="13"/>
      <c r="R175" s="13"/>
      <c r="S175" s="13"/>
      <c r="T175" s="18"/>
      <c r="U175" s="13"/>
      <c r="V175" s="13"/>
      <c r="W175"/>
      <c r="AC175"/>
    </row>
    <row r="176" spans="7:29" ht="16" x14ac:dyDescent="0.2">
      <c r="G176"/>
      <c r="H176"/>
      <c r="I176"/>
      <c r="K176"/>
      <c r="M176" s="13"/>
      <c r="N176" s="13"/>
      <c r="O176" s="13"/>
      <c r="P176" s="18"/>
      <c r="Q176" s="13"/>
      <c r="R176" s="13"/>
      <c r="S176" s="13"/>
      <c r="T176" s="18"/>
      <c r="U176" s="13"/>
      <c r="V176" s="13"/>
      <c r="W176"/>
      <c r="AC176"/>
    </row>
    <row r="177" spans="7:30" ht="16" x14ac:dyDescent="0.2">
      <c r="G177"/>
      <c r="H177"/>
      <c r="I177"/>
      <c r="K177"/>
      <c r="M177" s="13"/>
      <c r="N177" s="13"/>
      <c r="O177" s="13"/>
      <c r="P177" s="18"/>
      <c r="Q177" s="13"/>
      <c r="R177" s="13"/>
      <c r="S177" s="13"/>
      <c r="T177" s="18"/>
      <c r="U177" s="13"/>
      <c r="V177" s="13"/>
      <c r="W177"/>
      <c r="AC177"/>
    </row>
    <row r="178" spans="7:30" ht="16" x14ac:dyDescent="0.2">
      <c r="G178"/>
      <c r="H178"/>
      <c r="I178"/>
      <c r="K178"/>
      <c r="M178" s="13"/>
      <c r="N178" s="13"/>
      <c r="O178" s="13"/>
      <c r="P178" s="18"/>
      <c r="Q178" s="13"/>
      <c r="R178" s="13"/>
      <c r="S178" s="13"/>
      <c r="T178" s="18"/>
      <c r="U178" s="13"/>
      <c r="V178" s="13"/>
      <c r="W178"/>
      <c r="AC178"/>
    </row>
    <row r="179" spans="7:30" ht="16" x14ac:dyDescent="0.2">
      <c r="G179"/>
      <c r="H179"/>
      <c r="I179"/>
      <c r="K179"/>
      <c r="M179" s="13"/>
      <c r="N179" s="13"/>
      <c r="O179" s="13"/>
      <c r="P179" s="18"/>
      <c r="Q179" s="13"/>
      <c r="R179" s="13"/>
      <c r="S179" s="13"/>
      <c r="T179" s="18"/>
      <c r="U179" s="13"/>
      <c r="V179" s="13"/>
      <c r="W179"/>
      <c r="AC179"/>
    </row>
    <row r="180" spans="7:30" ht="16" x14ac:dyDescent="0.2">
      <c r="G180"/>
      <c r="H180"/>
      <c r="I180"/>
      <c r="K180"/>
      <c r="M180" s="13"/>
      <c r="N180" s="13"/>
      <c r="O180" s="13"/>
      <c r="P180" s="18"/>
      <c r="Q180" s="13"/>
      <c r="R180" s="13"/>
      <c r="S180" s="13"/>
      <c r="T180" s="18"/>
      <c r="U180" s="13"/>
      <c r="V180" s="13"/>
      <c r="W180"/>
      <c r="AC180"/>
    </row>
    <row r="181" spans="7:30" ht="16" x14ac:dyDescent="0.2">
      <c r="G181"/>
      <c r="H181"/>
      <c r="I181"/>
      <c r="K181"/>
      <c r="M181" s="13"/>
      <c r="N181" s="13"/>
      <c r="O181" s="13"/>
      <c r="P181" s="18"/>
      <c r="Q181" s="13"/>
      <c r="R181" s="13"/>
      <c r="S181" s="13"/>
      <c r="T181" s="18"/>
      <c r="U181" s="13"/>
      <c r="V181" s="13"/>
      <c r="W181"/>
      <c r="AC181"/>
    </row>
    <row r="182" spans="7:30" ht="16" x14ac:dyDescent="0.2">
      <c r="G182"/>
      <c r="H182"/>
      <c r="I182"/>
      <c r="K182"/>
      <c r="M182" s="13"/>
      <c r="N182" s="13"/>
      <c r="O182" s="13"/>
      <c r="P182" s="18"/>
      <c r="Q182" s="13"/>
      <c r="R182" s="13"/>
      <c r="S182" s="13"/>
      <c r="T182" s="18"/>
      <c r="U182" s="13"/>
      <c r="V182" s="13"/>
      <c r="W182"/>
      <c r="AC182"/>
    </row>
    <row r="183" spans="7:30" ht="16" x14ac:dyDescent="0.2">
      <c r="G183"/>
      <c r="H183"/>
      <c r="I183"/>
      <c r="K183"/>
      <c r="M183" s="13"/>
      <c r="N183" s="13"/>
      <c r="O183" s="13"/>
      <c r="P183" s="18"/>
      <c r="Q183" s="13"/>
      <c r="R183" s="13"/>
      <c r="S183" s="13"/>
      <c r="T183" s="18"/>
      <c r="U183" s="13"/>
      <c r="V183" s="13"/>
      <c r="W183"/>
      <c r="AC183"/>
    </row>
    <row r="184" spans="7:30" ht="16" x14ac:dyDescent="0.2">
      <c r="G184"/>
      <c r="H184"/>
      <c r="I184"/>
      <c r="K184"/>
      <c r="M184" s="13"/>
      <c r="N184" s="13"/>
      <c r="O184" s="13"/>
      <c r="P184" s="18"/>
      <c r="Q184" s="13"/>
      <c r="R184" s="13"/>
      <c r="S184" s="13"/>
      <c r="T184" s="18"/>
      <c r="U184" s="13"/>
      <c r="V184" s="13"/>
      <c r="W184"/>
      <c r="AC184"/>
    </row>
    <row r="185" spans="7:30" ht="16" x14ac:dyDescent="0.2">
      <c r="G185"/>
      <c r="H185"/>
      <c r="I185"/>
      <c r="K185"/>
      <c r="M185" s="13"/>
      <c r="N185" s="13"/>
      <c r="O185" s="13"/>
      <c r="P185" s="18"/>
      <c r="Q185" s="13"/>
      <c r="R185" s="13"/>
      <c r="S185" s="13"/>
      <c r="T185" s="18"/>
      <c r="U185" s="13"/>
      <c r="V185" s="13"/>
      <c r="W185"/>
      <c r="AC185"/>
    </row>
    <row r="186" spans="7:30" ht="16" x14ac:dyDescent="0.2">
      <c r="G186"/>
      <c r="H186"/>
      <c r="I186"/>
      <c r="K186"/>
      <c r="M186" s="13"/>
      <c r="N186" s="13"/>
      <c r="O186" s="13"/>
      <c r="P186" s="18"/>
      <c r="Q186" s="13"/>
      <c r="R186" s="13"/>
      <c r="S186" s="13"/>
      <c r="T186" s="18"/>
      <c r="U186" s="13"/>
      <c r="V186" s="13"/>
      <c r="W186"/>
      <c r="AC186"/>
    </row>
    <row r="187" spans="7:30" ht="16" x14ac:dyDescent="0.2">
      <c r="G187"/>
      <c r="H187"/>
      <c r="I187"/>
      <c r="K187"/>
      <c r="M187" s="13"/>
      <c r="N187" s="13"/>
      <c r="O187" s="13"/>
      <c r="P187" s="18"/>
      <c r="Q187" s="13"/>
      <c r="R187" s="13"/>
      <c r="S187" s="13"/>
      <c r="T187" s="18"/>
      <c r="U187" s="13"/>
      <c r="V187" s="13"/>
      <c r="W187"/>
      <c r="AC187"/>
      <c r="AD187" s="2"/>
    </row>
    <row r="188" spans="7:30" ht="16" x14ac:dyDescent="0.2">
      <c r="G188"/>
      <c r="H188"/>
      <c r="I188"/>
      <c r="K188"/>
      <c r="M188" s="13"/>
      <c r="N188" s="13"/>
      <c r="O188" s="13"/>
      <c r="P188" s="18"/>
      <c r="Q188" s="13"/>
      <c r="R188" s="13"/>
      <c r="S188" s="13"/>
      <c r="T188" s="18"/>
      <c r="U188" s="13"/>
      <c r="V188" s="13"/>
      <c r="W188"/>
      <c r="AC188"/>
    </row>
    <row r="189" spans="7:30" ht="16" x14ac:dyDescent="0.2">
      <c r="G189"/>
      <c r="H189"/>
      <c r="I189"/>
      <c r="K189"/>
      <c r="M189" s="13"/>
      <c r="N189" s="13"/>
      <c r="O189" s="13"/>
      <c r="P189" s="18"/>
      <c r="Q189" s="13"/>
      <c r="R189" s="13"/>
      <c r="S189" s="13"/>
      <c r="T189" s="18"/>
      <c r="U189" s="13"/>
      <c r="V189" s="13"/>
      <c r="W189"/>
      <c r="AC189"/>
    </row>
    <row r="190" spans="7:30" ht="16" x14ac:dyDescent="0.2">
      <c r="G190"/>
      <c r="H190"/>
      <c r="I190"/>
      <c r="K190"/>
      <c r="M190" s="13"/>
      <c r="N190" s="13"/>
      <c r="O190" s="13"/>
      <c r="P190" s="18"/>
      <c r="Q190" s="13"/>
      <c r="R190" s="13"/>
      <c r="S190" s="13"/>
      <c r="T190" s="18"/>
      <c r="U190" s="13"/>
      <c r="V190" s="13"/>
      <c r="W190"/>
      <c r="AC190"/>
    </row>
    <row r="191" spans="7:30" ht="16" x14ac:dyDescent="0.2">
      <c r="G191"/>
      <c r="H191"/>
      <c r="I191"/>
      <c r="K191"/>
      <c r="M191" s="13"/>
      <c r="N191" s="13"/>
      <c r="O191" s="13"/>
      <c r="P191" s="18"/>
      <c r="Q191" s="13"/>
      <c r="R191" s="13"/>
      <c r="S191" s="13"/>
      <c r="T191" s="18"/>
      <c r="U191" s="13"/>
      <c r="V191" s="13"/>
      <c r="W191"/>
      <c r="AC191"/>
    </row>
    <row r="192" spans="7:30" ht="16" x14ac:dyDescent="0.2">
      <c r="G192"/>
      <c r="H192"/>
      <c r="I192"/>
      <c r="K192"/>
      <c r="M192" s="13"/>
      <c r="N192" s="13"/>
      <c r="O192" s="13"/>
      <c r="P192" s="18"/>
      <c r="Q192" s="13"/>
      <c r="R192" s="13"/>
      <c r="S192" s="13"/>
      <c r="T192" s="18"/>
      <c r="U192" s="13"/>
      <c r="V192" s="13"/>
      <c r="W192"/>
      <c r="AC192"/>
    </row>
    <row r="193" spans="7:29" ht="16" x14ac:dyDescent="0.2">
      <c r="G193"/>
      <c r="H193"/>
      <c r="I193"/>
      <c r="K193"/>
      <c r="M193" s="13"/>
      <c r="N193" s="13"/>
      <c r="O193" s="13"/>
      <c r="P193" s="18"/>
      <c r="Q193" s="13"/>
      <c r="R193" s="13"/>
      <c r="S193" s="13"/>
      <c r="T193" s="18"/>
      <c r="U193" s="13"/>
      <c r="V193" s="13"/>
      <c r="W193"/>
      <c r="AC193"/>
    </row>
    <row r="194" spans="7:29" ht="16" x14ac:dyDescent="0.2">
      <c r="G194"/>
      <c r="H194"/>
      <c r="I194"/>
      <c r="K194"/>
      <c r="M194" s="13"/>
      <c r="N194" s="13"/>
      <c r="O194" s="13"/>
      <c r="P194" s="18"/>
      <c r="Q194" s="13"/>
      <c r="R194" s="13"/>
      <c r="S194" s="13"/>
      <c r="T194" s="18"/>
      <c r="U194" s="13"/>
      <c r="V194" s="13"/>
      <c r="W194"/>
      <c r="AC194"/>
    </row>
    <row r="195" spans="7:29" ht="16" x14ac:dyDescent="0.2">
      <c r="G195"/>
      <c r="H195"/>
      <c r="I195"/>
      <c r="K195"/>
      <c r="M195" s="13"/>
      <c r="N195" s="13"/>
      <c r="O195" s="13"/>
      <c r="P195" s="18"/>
      <c r="Q195" s="13"/>
      <c r="R195" s="13"/>
      <c r="S195" s="13"/>
      <c r="T195" s="18"/>
      <c r="U195" s="13"/>
      <c r="V195" s="13"/>
      <c r="W195"/>
      <c r="AC195"/>
    </row>
    <row r="196" spans="7:29" ht="16" x14ac:dyDescent="0.2">
      <c r="G196"/>
      <c r="H196"/>
      <c r="I196"/>
      <c r="K196"/>
      <c r="M196" s="13"/>
      <c r="N196" s="13"/>
      <c r="O196" s="13"/>
      <c r="P196" s="18"/>
      <c r="Q196" s="13"/>
      <c r="R196" s="13"/>
      <c r="S196" s="13"/>
      <c r="T196" s="18"/>
      <c r="U196" s="13"/>
      <c r="V196" s="13"/>
      <c r="W196"/>
      <c r="AC196"/>
    </row>
    <row r="197" spans="7:29" ht="16" x14ac:dyDescent="0.2">
      <c r="G197"/>
      <c r="H197"/>
      <c r="I197"/>
      <c r="K197"/>
      <c r="M197" s="13"/>
      <c r="N197" s="13"/>
      <c r="O197" s="13"/>
      <c r="P197" s="18"/>
      <c r="Q197" s="13"/>
      <c r="R197" s="13"/>
      <c r="S197" s="13"/>
      <c r="T197" s="18"/>
      <c r="U197" s="13"/>
      <c r="V197" s="13"/>
      <c r="W197"/>
      <c r="AC197"/>
    </row>
    <row r="198" spans="7:29" ht="16" x14ac:dyDescent="0.2">
      <c r="G198"/>
      <c r="H198"/>
      <c r="I198"/>
      <c r="K198"/>
      <c r="M198" s="13"/>
      <c r="N198" s="13"/>
      <c r="O198" s="13"/>
      <c r="P198" s="18"/>
      <c r="Q198" s="13"/>
      <c r="R198" s="13"/>
      <c r="S198" s="13"/>
      <c r="T198" s="18"/>
      <c r="U198" s="13"/>
      <c r="V198" s="13"/>
      <c r="W198"/>
      <c r="AC198"/>
    </row>
    <row r="199" spans="7:29" ht="16" x14ac:dyDescent="0.2">
      <c r="G199"/>
      <c r="H199"/>
      <c r="I199"/>
      <c r="K199"/>
      <c r="M199" s="13"/>
      <c r="N199" s="13"/>
      <c r="O199" s="13"/>
      <c r="P199" s="18"/>
      <c r="Q199" s="13"/>
      <c r="R199" s="13"/>
      <c r="S199" s="13"/>
      <c r="T199" s="18"/>
      <c r="U199" s="13"/>
      <c r="V199" s="13"/>
      <c r="W199"/>
      <c r="AC199"/>
    </row>
    <row r="200" spans="7:29" ht="16" x14ac:dyDescent="0.2">
      <c r="G200"/>
      <c r="H200"/>
      <c r="I200"/>
      <c r="K200"/>
      <c r="M200" s="13"/>
      <c r="N200" s="13"/>
      <c r="O200" s="13"/>
      <c r="P200" s="18"/>
      <c r="Q200" s="13"/>
      <c r="R200" s="13"/>
      <c r="S200" s="13"/>
      <c r="T200" s="18"/>
      <c r="U200" s="13"/>
      <c r="V200" s="13"/>
      <c r="W200"/>
      <c r="AC200"/>
    </row>
    <row r="201" spans="7:29" ht="16" x14ac:dyDescent="0.2">
      <c r="G201"/>
      <c r="H201"/>
      <c r="I201"/>
      <c r="K201"/>
      <c r="M201" s="13"/>
      <c r="N201" s="13"/>
      <c r="O201" s="13"/>
      <c r="P201" s="18"/>
      <c r="Q201" s="13"/>
      <c r="R201" s="13"/>
      <c r="S201" s="13"/>
      <c r="T201" s="18"/>
      <c r="U201" s="13"/>
      <c r="V201" s="13"/>
      <c r="W201"/>
      <c r="AC201"/>
    </row>
    <row r="202" spans="7:29" ht="16" x14ac:dyDescent="0.2">
      <c r="G202"/>
      <c r="H202"/>
      <c r="I202"/>
      <c r="K202"/>
      <c r="M202" s="13"/>
      <c r="N202" s="13"/>
      <c r="O202" s="13"/>
      <c r="P202" s="18"/>
      <c r="Q202" s="13"/>
      <c r="R202" s="13"/>
      <c r="S202" s="13"/>
      <c r="T202" s="18"/>
      <c r="U202" s="13"/>
      <c r="V202" s="13"/>
      <c r="W202"/>
      <c r="AC202"/>
    </row>
    <row r="203" spans="7:29" ht="16" x14ac:dyDescent="0.2">
      <c r="G203"/>
      <c r="H203"/>
      <c r="I203"/>
      <c r="K203"/>
      <c r="M203" s="13"/>
      <c r="N203" s="13"/>
      <c r="O203" s="13"/>
      <c r="P203" s="18"/>
      <c r="Q203" s="13"/>
      <c r="R203" s="13"/>
      <c r="S203" s="13"/>
      <c r="T203" s="18"/>
      <c r="U203" s="13"/>
      <c r="V203" s="13"/>
      <c r="W203"/>
      <c r="AC203"/>
    </row>
    <row r="204" spans="7:29" ht="16" x14ac:dyDescent="0.2">
      <c r="G204"/>
      <c r="H204"/>
      <c r="I204"/>
      <c r="K204"/>
      <c r="M204" s="13"/>
      <c r="N204" s="13"/>
      <c r="O204" s="13"/>
      <c r="P204" s="18"/>
      <c r="Q204" s="13"/>
      <c r="R204" s="13"/>
      <c r="S204" s="13"/>
      <c r="T204" s="18"/>
      <c r="U204" s="13"/>
      <c r="V204" s="13"/>
      <c r="W204"/>
      <c r="AC204"/>
    </row>
    <row r="205" spans="7:29" ht="16" x14ac:dyDescent="0.2">
      <c r="G205"/>
      <c r="H205"/>
      <c r="I205"/>
      <c r="K205"/>
      <c r="M205" s="13"/>
      <c r="N205" s="13"/>
      <c r="O205" s="13"/>
      <c r="P205" s="18"/>
      <c r="Q205" s="13"/>
      <c r="R205" s="13"/>
      <c r="S205" s="13"/>
      <c r="T205" s="18"/>
      <c r="U205" s="13"/>
      <c r="V205" s="13"/>
      <c r="W205"/>
      <c r="AC205"/>
    </row>
    <row r="206" spans="7:29" ht="16" x14ac:dyDescent="0.2">
      <c r="G206"/>
      <c r="H206"/>
      <c r="I206"/>
      <c r="K206"/>
      <c r="M206" s="13"/>
      <c r="N206" s="13"/>
      <c r="O206" s="13"/>
      <c r="P206" s="18"/>
      <c r="Q206" s="13"/>
      <c r="R206" s="13"/>
      <c r="S206" s="13"/>
      <c r="T206" s="18"/>
      <c r="U206" s="13"/>
      <c r="V206" s="13"/>
      <c r="W206"/>
      <c r="AC206"/>
    </row>
    <row r="207" spans="7:29" ht="16" x14ac:dyDescent="0.2">
      <c r="G207"/>
      <c r="H207"/>
      <c r="I207"/>
      <c r="K207"/>
      <c r="M207" s="13"/>
      <c r="N207" s="13"/>
      <c r="O207" s="13"/>
      <c r="P207" s="18"/>
      <c r="Q207" s="13"/>
      <c r="R207" s="13"/>
      <c r="S207" s="13"/>
      <c r="T207" s="18"/>
      <c r="U207" s="13"/>
      <c r="V207" s="13"/>
      <c r="W207"/>
      <c r="AC207"/>
    </row>
    <row r="208" spans="7:29" ht="16" x14ac:dyDescent="0.2">
      <c r="G208"/>
      <c r="H208"/>
      <c r="I208"/>
      <c r="K208"/>
      <c r="M208" s="13"/>
      <c r="N208" s="13"/>
      <c r="O208" s="13"/>
      <c r="P208" s="18"/>
      <c r="Q208" s="13"/>
      <c r="R208" s="13"/>
      <c r="S208" s="13"/>
      <c r="T208" s="18"/>
      <c r="U208" s="13"/>
      <c r="V208" s="13"/>
      <c r="W208"/>
      <c r="AC208"/>
    </row>
    <row r="209" spans="7:29" ht="16" x14ac:dyDescent="0.2">
      <c r="G209"/>
      <c r="H209"/>
      <c r="I209"/>
      <c r="K209"/>
      <c r="M209" s="13"/>
      <c r="N209" s="13"/>
      <c r="O209" s="13"/>
      <c r="P209" s="18"/>
      <c r="Q209" s="13"/>
      <c r="R209" s="13"/>
      <c r="S209" s="13"/>
      <c r="T209" s="18"/>
      <c r="U209" s="13"/>
      <c r="V209" s="13"/>
      <c r="W209"/>
      <c r="AC209"/>
    </row>
    <row r="210" spans="7:29" ht="16" x14ac:dyDescent="0.2">
      <c r="G210"/>
      <c r="H210"/>
      <c r="I210"/>
      <c r="K210"/>
      <c r="M210" s="13"/>
      <c r="N210" s="13"/>
      <c r="O210" s="13"/>
      <c r="P210" s="18"/>
      <c r="Q210" s="13"/>
      <c r="R210" s="13"/>
      <c r="S210" s="13"/>
      <c r="T210" s="18"/>
      <c r="U210" s="13"/>
      <c r="V210" s="13"/>
      <c r="W210"/>
      <c r="AC210"/>
    </row>
    <row r="211" spans="7:29" ht="16" x14ac:dyDescent="0.2">
      <c r="G211"/>
      <c r="H211"/>
      <c r="I211"/>
      <c r="K211"/>
      <c r="M211" s="13"/>
      <c r="N211" s="13"/>
      <c r="O211" s="13"/>
      <c r="P211" s="18"/>
      <c r="Q211" s="13"/>
      <c r="R211" s="13"/>
      <c r="S211" s="13"/>
      <c r="T211" s="18"/>
      <c r="U211" s="13"/>
      <c r="V211" s="13"/>
      <c r="W211"/>
      <c r="AC211"/>
    </row>
    <row r="212" spans="7:29" ht="16" x14ac:dyDescent="0.2">
      <c r="G212"/>
      <c r="H212"/>
      <c r="I212"/>
      <c r="K212"/>
      <c r="M212" s="13"/>
      <c r="N212" s="13"/>
      <c r="O212" s="13"/>
      <c r="P212" s="18"/>
      <c r="Q212" s="13"/>
      <c r="R212" s="13"/>
      <c r="S212" s="13"/>
      <c r="T212" s="18"/>
      <c r="U212" s="13"/>
      <c r="V212" s="13"/>
      <c r="W212"/>
      <c r="AC212"/>
    </row>
    <row r="213" spans="7:29" ht="16" x14ac:dyDescent="0.2">
      <c r="G213"/>
      <c r="H213"/>
      <c r="I213"/>
      <c r="K213"/>
      <c r="M213" s="13"/>
      <c r="N213" s="13"/>
      <c r="O213" s="13"/>
      <c r="P213" s="18"/>
      <c r="Q213" s="13"/>
      <c r="R213" s="13"/>
      <c r="S213" s="13"/>
      <c r="T213" s="18"/>
      <c r="U213" s="13"/>
      <c r="V213" s="13"/>
      <c r="W213"/>
      <c r="AC213"/>
    </row>
    <row r="214" spans="7:29" ht="16" x14ac:dyDescent="0.2">
      <c r="G214"/>
      <c r="H214"/>
      <c r="I214"/>
      <c r="K214"/>
      <c r="M214" s="13"/>
      <c r="N214" s="13"/>
      <c r="O214" s="13"/>
      <c r="P214" s="18"/>
      <c r="Q214" s="13"/>
      <c r="R214" s="13"/>
      <c r="S214" s="13"/>
      <c r="T214" s="18"/>
      <c r="U214" s="13"/>
      <c r="V214" s="13"/>
      <c r="W214"/>
      <c r="AC214"/>
    </row>
    <row r="215" spans="7:29" ht="16" x14ac:dyDescent="0.2">
      <c r="G215"/>
      <c r="H215"/>
      <c r="I215"/>
      <c r="K215"/>
      <c r="M215" s="13"/>
      <c r="N215" s="13"/>
      <c r="O215" s="13"/>
      <c r="P215" s="18"/>
      <c r="Q215" s="13"/>
      <c r="R215" s="13"/>
      <c r="S215" s="13"/>
      <c r="T215" s="18"/>
      <c r="U215" s="13"/>
      <c r="V215" s="13"/>
      <c r="W215"/>
      <c r="AC215"/>
    </row>
    <row r="216" spans="7:29" ht="16" x14ac:dyDescent="0.2">
      <c r="G216"/>
      <c r="H216"/>
      <c r="I216"/>
      <c r="K216"/>
      <c r="M216" s="13"/>
      <c r="N216" s="13"/>
      <c r="O216" s="13"/>
      <c r="P216" s="18"/>
      <c r="Q216" s="13"/>
      <c r="R216" s="13"/>
      <c r="S216" s="13"/>
      <c r="T216" s="18"/>
      <c r="U216" s="13"/>
      <c r="V216" s="13"/>
      <c r="W216"/>
      <c r="AC216"/>
    </row>
    <row r="217" spans="7:29" ht="16" x14ac:dyDescent="0.2">
      <c r="G217"/>
      <c r="H217"/>
      <c r="I217"/>
      <c r="K217"/>
      <c r="M217" s="13"/>
      <c r="N217" s="13"/>
      <c r="O217" s="13"/>
      <c r="P217" s="18"/>
      <c r="Q217" s="13"/>
      <c r="R217" s="13"/>
      <c r="S217" s="13"/>
      <c r="T217" s="18"/>
      <c r="U217" s="13"/>
      <c r="V217" s="13"/>
      <c r="W217"/>
      <c r="AC217"/>
    </row>
    <row r="218" spans="7:29" ht="16" x14ac:dyDescent="0.2">
      <c r="G218"/>
      <c r="H218"/>
      <c r="I218"/>
      <c r="K218"/>
      <c r="M218" s="13"/>
      <c r="N218" s="13"/>
      <c r="O218" s="13"/>
      <c r="P218" s="18"/>
      <c r="Q218" s="13"/>
      <c r="R218" s="13"/>
      <c r="S218" s="13"/>
      <c r="T218" s="18"/>
      <c r="U218" s="13"/>
      <c r="V218" s="13"/>
      <c r="W218"/>
      <c r="AC218"/>
    </row>
    <row r="219" spans="7:29" ht="16" x14ac:dyDescent="0.2">
      <c r="G219"/>
      <c r="H219"/>
      <c r="I219"/>
      <c r="K219"/>
      <c r="M219" s="13"/>
      <c r="N219" s="13"/>
      <c r="O219" s="13"/>
      <c r="P219" s="18"/>
      <c r="Q219" s="13"/>
      <c r="R219" s="13"/>
      <c r="S219" s="13"/>
      <c r="T219" s="18"/>
      <c r="U219" s="13"/>
      <c r="V219" s="13"/>
      <c r="W219"/>
      <c r="AC219"/>
    </row>
    <row r="220" spans="7:29" ht="16" x14ac:dyDescent="0.2">
      <c r="G220"/>
      <c r="H220"/>
      <c r="I220"/>
      <c r="K220"/>
      <c r="M220" s="13"/>
      <c r="N220" s="13"/>
      <c r="O220" s="13"/>
      <c r="P220" s="18"/>
      <c r="Q220" s="13"/>
      <c r="R220" s="13"/>
      <c r="S220" s="13"/>
      <c r="T220" s="18"/>
      <c r="U220" s="13"/>
      <c r="V220" s="13"/>
      <c r="W220"/>
      <c r="AC220"/>
    </row>
    <row r="221" spans="7:29" ht="16" x14ac:dyDescent="0.2">
      <c r="G221"/>
      <c r="H221"/>
      <c r="I221"/>
      <c r="K221"/>
      <c r="M221" s="13"/>
      <c r="N221" s="13"/>
      <c r="O221" s="13"/>
      <c r="P221" s="18"/>
      <c r="Q221" s="13"/>
      <c r="R221" s="13"/>
      <c r="S221" s="13"/>
      <c r="T221" s="18"/>
      <c r="U221" s="13"/>
      <c r="V221" s="13"/>
      <c r="W221"/>
      <c r="AC221"/>
    </row>
    <row r="222" spans="7:29" ht="16" x14ac:dyDescent="0.2">
      <c r="G222"/>
      <c r="H222"/>
      <c r="I222"/>
      <c r="K222"/>
      <c r="M222" s="13"/>
      <c r="N222" s="13"/>
      <c r="O222" s="13"/>
      <c r="P222" s="18"/>
      <c r="Q222" s="13"/>
      <c r="R222" s="13"/>
      <c r="S222" s="13"/>
      <c r="T222" s="18"/>
      <c r="U222" s="13"/>
      <c r="V222" s="13"/>
      <c r="W222"/>
      <c r="AC222"/>
    </row>
    <row r="223" spans="7:29" ht="16" x14ac:dyDescent="0.2">
      <c r="G223"/>
      <c r="H223"/>
      <c r="I223"/>
      <c r="K223"/>
      <c r="M223" s="13"/>
      <c r="N223" s="13"/>
      <c r="O223" s="13"/>
      <c r="P223" s="18"/>
      <c r="Q223" s="13"/>
      <c r="R223" s="13"/>
      <c r="S223" s="13"/>
      <c r="T223" s="18"/>
      <c r="U223" s="13"/>
      <c r="V223" s="13"/>
      <c r="W223"/>
      <c r="AC223"/>
    </row>
    <row r="224" spans="7:29" ht="16" x14ac:dyDescent="0.2">
      <c r="G224"/>
      <c r="H224"/>
      <c r="I224"/>
      <c r="K224"/>
      <c r="M224" s="13"/>
      <c r="N224" s="13"/>
      <c r="O224" s="13"/>
      <c r="P224" s="18"/>
      <c r="Q224" s="13"/>
      <c r="R224" s="13"/>
      <c r="S224" s="13"/>
      <c r="T224" s="18"/>
      <c r="U224" s="13"/>
      <c r="V224" s="13"/>
      <c r="W224"/>
      <c r="AC224"/>
    </row>
    <row r="225" spans="7:29" ht="16" x14ac:dyDescent="0.2">
      <c r="G225"/>
      <c r="H225"/>
      <c r="I225"/>
      <c r="K225"/>
      <c r="M225" s="13"/>
      <c r="N225" s="13"/>
      <c r="O225" s="13"/>
      <c r="P225" s="18"/>
      <c r="Q225" s="13"/>
      <c r="R225" s="13"/>
      <c r="S225" s="13"/>
      <c r="T225" s="18"/>
      <c r="U225" s="13"/>
      <c r="V225" s="13"/>
      <c r="W225"/>
      <c r="AC225"/>
    </row>
    <row r="226" spans="7:29" ht="16" x14ac:dyDescent="0.2">
      <c r="G226"/>
      <c r="H226"/>
      <c r="I226"/>
      <c r="K226"/>
      <c r="M226" s="13"/>
      <c r="N226" s="13"/>
      <c r="O226" s="13"/>
      <c r="P226" s="18"/>
      <c r="Q226" s="13"/>
      <c r="R226" s="13"/>
      <c r="S226" s="13"/>
      <c r="T226" s="18"/>
      <c r="U226" s="13"/>
      <c r="V226" s="13"/>
      <c r="W226"/>
      <c r="AC226"/>
    </row>
    <row r="227" spans="7:29" ht="16" x14ac:dyDescent="0.2">
      <c r="G227"/>
      <c r="H227"/>
      <c r="I227"/>
      <c r="K227"/>
      <c r="M227" s="13"/>
      <c r="N227" s="13"/>
      <c r="O227" s="13"/>
      <c r="P227" s="18"/>
      <c r="Q227" s="13"/>
      <c r="R227" s="13"/>
      <c r="S227" s="13"/>
      <c r="T227" s="18"/>
      <c r="U227" s="13"/>
      <c r="V227" s="13"/>
      <c r="W227"/>
      <c r="AC227"/>
    </row>
    <row r="228" spans="7:29" ht="16" x14ac:dyDescent="0.2">
      <c r="G228"/>
      <c r="H228"/>
      <c r="I228"/>
      <c r="K228"/>
      <c r="M228" s="13"/>
      <c r="N228" s="13"/>
      <c r="O228" s="13"/>
      <c r="P228" s="18"/>
      <c r="Q228" s="13"/>
      <c r="R228" s="13"/>
      <c r="S228" s="13"/>
      <c r="T228" s="18"/>
      <c r="U228" s="13"/>
      <c r="V228" s="13"/>
      <c r="W228"/>
      <c r="AC228"/>
    </row>
    <row r="229" spans="7:29" ht="16" x14ac:dyDescent="0.2">
      <c r="G229"/>
      <c r="H229"/>
      <c r="I229"/>
      <c r="K229"/>
      <c r="M229" s="13"/>
      <c r="N229" s="13"/>
      <c r="O229" s="13"/>
      <c r="P229" s="18"/>
      <c r="Q229" s="13"/>
      <c r="R229" s="13"/>
      <c r="S229" s="13"/>
      <c r="T229" s="18"/>
      <c r="U229" s="13"/>
      <c r="V229" s="13"/>
      <c r="W229"/>
      <c r="AC229"/>
    </row>
    <row r="230" spans="7:29" ht="16" x14ac:dyDescent="0.2">
      <c r="G230"/>
      <c r="H230"/>
      <c r="I230"/>
      <c r="K230"/>
      <c r="M230" s="13"/>
      <c r="N230" s="13"/>
      <c r="O230" s="13"/>
      <c r="P230" s="18"/>
      <c r="Q230" s="13"/>
      <c r="R230" s="13"/>
      <c r="S230" s="13"/>
      <c r="T230" s="18"/>
      <c r="U230" s="13"/>
      <c r="V230" s="13"/>
      <c r="W230"/>
      <c r="AC230"/>
    </row>
    <row r="231" spans="7:29" ht="16" x14ac:dyDescent="0.2">
      <c r="G231"/>
      <c r="H231"/>
      <c r="I231"/>
      <c r="K231"/>
      <c r="M231" s="13"/>
      <c r="N231" s="13"/>
      <c r="O231" s="13"/>
      <c r="P231" s="18"/>
      <c r="Q231" s="13"/>
      <c r="R231" s="13"/>
      <c r="S231" s="13"/>
      <c r="T231" s="18"/>
      <c r="U231" s="13"/>
      <c r="V231" s="13"/>
      <c r="W231"/>
      <c r="AC231"/>
    </row>
    <row r="232" spans="7:29" ht="16" x14ac:dyDescent="0.2">
      <c r="G232"/>
      <c r="H232"/>
      <c r="I232"/>
      <c r="K232"/>
      <c r="M232" s="13"/>
      <c r="N232" s="13"/>
      <c r="O232" s="13"/>
      <c r="P232" s="18"/>
      <c r="Q232" s="13"/>
      <c r="R232" s="13"/>
      <c r="S232" s="13"/>
      <c r="T232" s="18"/>
      <c r="U232" s="13"/>
      <c r="V232" s="13"/>
      <c r="W232"/>
      <c r="AC232"/>
    </row>
    <row r="233" spans="7:29" ht="16" x14ac:dyDescent="0.2">
      <c r="G233"/>
      <c r="H233"/>
      <c r="I233"/>
      <c r="K233"/>
      <c r="M233" s="13"/>
      <c r="N233" s="13"/>
      <c r="O233" s="13"/>
      <c r="P233" s="18"/>
      <c r="Q233" s="13"/>
      <c r="R233" s="13"/>
      <c r="S233" s="13"/>
      <c r="T233" s="18"/>
      <c r="U233" s="13"/>
      <c r="V233" s="13"/>
      <c r="W233"/>
      <c r="AC233"/>
    </row>
    <row r="234" spans="7:29" ht="16" x14ac:dyDescent="0.2">
      <c r="G234"/>
      <c r="H234"/>
      <c r="I234"/>
      <c r="K234"/>
      <c r="M234" s="13"/>
      <c r="N234" s="13"/>
      <c r="O234" s="13"/>
      <c r="P234" s="18"/>
      <c r="Q234" s="13"/>
      <c r="R234" s="13"/>
      <c r="S234" s="13"/>
      <c r="T234" s="18"/>
      <c r="U234" s="13"/>
      <c r="V234" s="13"/>
      <c r="W234"/>
      <c r="AC234"/>
    </row>
    <row r="235" spans="7:29" ht="16" x14ac:dyDescent="0.2">
      <c r="G235"/>
      <c r="H235"/>
      <c r="I235"/>
      <c r="K235"/>
      <c r="M235" s="13"/>
      <c r="N235" s="13"/>
      <c r="O235" s="13"/>
      <c r="P235" s="18"/>
      <c r="Q235" s="13"/>
      <c r="R235" s="13"/>
      <c r="S235" s="13"/>
      <c r="T235" s="18"/>
      <c r="U235" s="13"/>
      <c r="V235" s="13"/>
      <c r="W235"/>
      <c r="AC235"/>
    </row>
    <row r="236" spans="7:29" ht="16" x14ac:dyDescent="0.2">
      <c r="G236"/>
      <c r="H236"/>
      <c r="I236"/>
      <c r="K236"/>
      <c r="M236" s="13"/>
      <c r="N236" s="13"/>
      <c r="O236" s="13"/>
      <c r="P236" s="18"/>
      <c r="Q236" s="13"/>
      <c r="R236" s="13"/>
      <c r="S236" s="13"/>
      <c r="T236" s="18"/>
      <c r="U236" s="13"/>
      <c r="V236" s="13"/>
      <c r="W236"/>
      <c r="AC236"/>
    </row>
    <row r="237" spans="7:29" ht="16" x14ac:dyDescent="0.2">
      <c r="G237"/>
      <c r="H237"/>
      <c r="I237"/>
      <c r="K237"/>
      <c r="M237" s="13"/>
      <c r="N237" s="13"/>
      <c r="O237" s="13"/>
      <c r="P237" s="18"/>
      <c r="Q237" s="13"/>
      <c r="R237" s="13"/>
      <c r="S237" s="13"/>
      <c r="T237" s="18"/>
      <c r="U237" s="13"/>
      <c r="V237" s="13"/>
      <c r="W237"/>
      <c r="AC237"/>
    </row>
    <row r="238" spans="7:29" ht="16" x14ac:dyDescent="0.2">
      <c r="G238"/>
      <c r="H238"/>
      <c r="I238"/>
      <c r="K238"/>
      <c r="M238" s="13"/>
      <c r="N238" s="13"/>
      <c r="O238" s="13"/>
      <c r="P238" s="18"/>
      <c r="Q238" s="13"/>
      <c r="R238" s="13"/>
      <c r="S238" s="13"/>
      <c r="T238" s="18"/>
      <c r="U238" s="13"/>
      <c r="V238" s="13"/>
      <c r="W238"/>
      <c r="AC238"/>
    </row>
    <row r="239" spans="7:29" ht="16" x14ac:dyDescent="0.2">
      <c r="G239"/>
      <c r="H239"/>
      <c r="I239"/>
      <c r="K239"/>
      <c r="M239" s="13"/>
      <c r="N239" s="13"/>
      <c r="O239" s="13"/>
      <c r="P239" s="18"/>
      <c r="Q239" s="13"/>
      <c r="R239" s="13"/>
      <c r="S239" s="13"/>
      <c r="T239" s="18"/>
      <c r="U239" s="13"/>
      <c r="V239" s="13"/>
      <c r="W239"/>
      <c r="AC239"/>
    </row>
    <row r="240" spans="7:29" ht="16" x14ac:dyDescent="0.2">
      <c r="G240"/>
      <c r="H240"/>
      <c r="I240"/>
      <c r="K240"/>
      <c r="M240" s="13"/>
      <c r="N240" s="13"/>
      <c r="O240" s="13"/>
      <c r="P240" s="18"/>
      <c r="Q240" s="13"/>
      <c r="R240" s="13"/>
      <c r="S240" s="13"/>
      <c r="T240" s="18"/>
      <c r="U240" s="13"/>
      <c r="V240" s="13"/>
      <c r="W240"/>
      <c r="AC240"/>
    </row>
    <row r="241" spans="7:29" ht="16" x14ac:dyDescent="0.2">
      <c r="G241"/>
      <c r="H241"/>
      <c r="I241"/>
      <c r="K241"/>
      <c r="M241" s="13"/>
      <c r="N241" s="13"/>
      <c r="O241" s="13"/>
      <c r="P241" s="18"/>
      <c r="Q241" s="13"/>
      <c r="R241" s="13"/>
      <c r="S241" s="13"/>
      <c r="T241" s="18"/>
      <c r="U241" s="13"/>
      <c r="V241" s="13"/>
      <c r="W241"/>
      <c r="AC241"/>
    </row>
    <row r="242" spans="7:29" ht="16" x14ac:dyDescent="0.2">
      <c r="G242"/>
      <c r="H242"/>
      <c r="I242"/>
      <c r="K242"/>
      <c r="M242" s="13"/>
      <c r="N242" s="13"/>
      <c r="O242" s="13"/>
      <c r="P242" s="18"/>
      <c r="Q242" s="13"/>
      <c r="R242" s="13"/>
      <c r="S242" s="13"/>
      <c r="T242" s="18"/>
      <c r="U242" s="13"/>
      <c r="V242" s="13"/>
      <c r="W242"/>
      <c r="AC242"/>
    </row>
    <row r="243" spans="7:29" ht="16" x14ac:dyDescent="0.2">
      <c r="G243"/>
      <c r="H243"/>
      <c r="I243"/>
      <c r="K243"/>
      <c r="M243" s="13"/>
      <c r="N243" s="13"/>
      <c r="O243" s="13"/>
      <c r="P243" s="18"/>
      <c r="Q243" s="13"/>
      <c r="R243" s="13"/>
      <c r="S243" s="13"/>
      <c r="T243" s="18"/>
      <c r="U243" s="13"/>
      <c r="V243" s="13"/>
      <c r="W243"/>
      <c r="AC243"/>
    </row>
    <row r="244" spans="7:29" ht="16" x14ac:dyDescent="0.2">
      <c r="G244"/>
      <c r="H244"/>
      <c r="I244"/>
      <c r="K244"/>
      <c r="M244" s="13"/>
      <c r="N244" s="13"/>
      <c r="O244" s="13"/>
      <c r="P244" s="18"/>
      <c r="Q244" s="13"/>
      <c r="R244" s="13"/>
      <c r="S244" s="13"/>
      <c r="T244" s="18"/>
      <c r="U244" s="13"/>
      <c r="V244" s="13"/>
      <c r="W244"/>
      <c r="AC244"/>
    </row>
    <row r="245" spans="7:29" ht="16" x14ac:dyDescent="0.2">
      <c r="G245"/>
      <c r="H245"/>
      <c r="I245"/>
      <c r="K245"/>
      <c r="M245" s="13"/>
      <c r="N245" s="13"/>
      <c r="O245" s="13"/>
      <c r="P245" s="18"/>
      <c r="Q245" s="13"/>
      <c r="R245" s="13"/>
      <c r="S245" s="13"/>
      <c r="T245" s="18"/>
      <c r="U245" s="13"/>
      <c r="V245" s="13"/>
      <c r="W245"/>
      <c r="AC245"/>
    </row>
    <row r="246" spans="7:29" ht="16" x14ac:dyDescent="0.2">
      <c r="G246"/>
      <c r="H246"/>
      <c r="I246"/>
      <c r="K246"/>
      <c r="M246" s="13"/>
      <c r="N246" s="13"/>
      <c r="O246" s="13"/>
      <c r="P246" s="18"/>
      <c r="Q246" s="13"/>
      <c r="R246" s="13"/>
      <c r="S246" s="13"/>
      <c r="T246" s="18"/>
      <c r="U246" s="13"/>
      <c r="V246" s="13"/>
      <c r="W246"/>
      <c r="AC246"/>
    </row>
    <row r="247" spans="7:29" ht="16" x14ac:dyDescent="0.2">
      <c r="G247"/>
      <c r="H247"/>
      <c r="I247"/>
      <c r="K247"/>
      <c r="M247" s="13"/>
      <c r="N247" s="13"/>
      <c r="O247" s="13"/>
      <c r="P247" s="18"/>
      <c r="Q247" s="13"/>
      <c r="R247" s="13"/>
      <c r="S247" s="13"/>
      <c r="T247" s="18"/>
      <c r="U247" s="13"/>
      <c r="V247" s="13"/>
      <c r="W247"/>
      <c r="AC247"/>
    </row>
    <row r="248" spans="7:29" ht="16" x14ac:dyDescent="0.2">
      <c r="G248"/>
      <c r="H248"/>
      <c r="I248"/>
      <c r="K248"/>
      <c r="M248" s="13"/>
      <c r="N248" s="13"/>
      <c r="O248" s="13"/>
      <c r="P248" s="18"/>
      <c r="Q248" s="13"/>
      <c r="R248" s="13"/>
      <c r="S248" s="13"/>
      <c r="T248" s="18"/>
      <c r="U248" s="13"/>
      <c r="V248" s="13"/>
      <c r="W248"/>
      <c r="AC248"/>
    </row>
    <row r="249" spans="7:29" ht="16" x14ac:dyDescent="0.2">
      <c r="G249"/>
      <c r="H249"/>
      <c r="I249"/>
      <c r="K249"/>
      <c r="M249" s="13"/>
      <c r="N249" s="13"/>
      <c r="O249" s="13"/>
      <c r="P249" s="18"/>
      <c r="Q249" s="13"/>
      <c r="R249" s="13"/>
      <c r="S249" s="13"/>
      <c r="T249" s="18"/>
      <c r="U249" s="13"/>
      <c r="V249" s="13"/>
      <c r="W249"/>
      <c r="AC249"/>
    </row>
    <row r="250" spans="7:29" ht="16" x14ac:dyDescent="0.2">
      <c r="G250"/>
      <c r="H250"/>
      <c r="I250"/>
      <c r="K250"/>
      <c r="M250" s="13"/>
      <c r="N250" s="13"/>
      <c r="O250" s="13"/>
      <c r="P250" s="18"/>
      <c r="Q250" s="13"/>
      <c r="R250" s="13"/>
      <c r="S250" s="13"/>
      <c r="T250" s="18"/>
      <c r="U250" s="13"/>
      <c r="V250" s="13"/>
      <c r="W250"/>
      <c r="AC250"/>
    </row>
    <row r="251" spans="7:29" ht="16" x14ac:dyDescent="0.2">
      <c r="G251"/>
      <c r="H251"/>
      <c r="I251"/>
      <c r="K251"/>
      <c r="M251" s="13"/>
      <c r="N251" s="13"/>
      <c r="O251" s="13"/>
      <c r="P251" s="18"/>
      <c r="Q251" s="13"/>
      <c r="R251" s="13"/>
      <c r="S251" s="13"/>
      <c r="T251" s="18"/>
      <c r="U251" s="13"/>
      <c r="V251" s="13"/>
      <c r="W251"/>
      <c r="AC251"/>
    </row>
    <row r="252" spans="7:29" ht="16" x14ac:dyDescent="0.2">
      <c r="G252"/>
      <c r="H252"/>
      <c r="I252"/>
      <c r="K252"/>
      <c r="M252" s="13"/>
      <c r="N252" s="13"/>
      <c r="O252" s="13"/>
      <c r="P252" s="18"/>
      <c r="Q252" s="13"/>
      <c r="R252" s="13"/>
      <c r="S252" s="13"/>
      <c r="T252" s="18"/>
      <c r="U252" s="13"/>
      <c r="V252" s="13"/>
      <c r="W252"/>
      <c r="AC252"/>
    </row>
    <row r="253" spans="7:29" ht="16" x14ac:dyDescent="0.2">
      <c r="G253"/>
      <c r="H253"/>
      <c r="I253"/>
      <c r="K253"/>
      <c r="M253" s="13"/>
      <c r="N253" s="13"/>
      <c r="O253" s="13"/>
      <c r="P253" s="18"/>
      <c r="Q253" s="13"/>
      <c r="R253" s="13"/>
      <c r="S253" s="13"/>
      <c r="T253" s="18"/>
      <c r="U253" s="13"/>
      <c r="V253" s="13"/>
      <c r="W253"/>
      <c r="AC253"/>
    </row>
    <row r="254" spans="7:29" ht="16" x14ac:dyDescent="0.2">
      <c r="G254"/>
      <c r="H254"/>
      <c r="I254"/>
      <c r="K254"/>
      <c r="M254" s="13"/>
      <c r="N254" s="13"/>
      <c r="O254" s="13"/>
      <c r="P254" s="18"/>
      <c r="Q254" s="13"/>
      <c r="R254" s="13"/>
      <c r="S254" s="13"/>
      <c r="T254" s="18"/>
      <c r="U254" s="13"/>
      <c r="V254" s="13"/>
      <c r="W254"/>
      <c r="AC254"/>
    </row>
    <row r="255" spans="7:29" ht="16" x14ac:dyDescent="0.2">
      <c r="G255"/>
      <c r="H255"/>
      <c r="I255"/>
      <c r="K255"/>
      <c r="M255" s="13"/>
      <c r="N255" s="13"/>
      <c r="O255" s="13"/>
      <c r="P255" s="18"/>
      <c r="Q255" s="13"/>
      <c r="R255" s="13"/>
      <c r="S255" s="13"/>
      <c r="T255" s="18"/>
      <c r="U255" s="13"/>
      <c r="V255" s="13"/>
      <c r="W255"/>
      <c r="AC255"/>
    </row>
    <row r="256" spans="7:29" ht="16" x14ac:dyDescent="0.2">
      <c r="G256"/>
      <c r="H256"/>
      <c r="I256"/>
      <c r="K256"/>
      <c r="M256" s="13"/>
      <c r="N256" s="13"/>
      <c r="O256" s="13"/>
      <c r="P256" s="18"/>
      <c r="Q256" s="13"/>
      <c r="R256" s="13"/>
      <c r="S256" s="13"/>
      <c r="T256" s="18"/>
      <c r="U256" s="13"/>
      <c r="V256" s="13"/>
      <c r="W256"/>
      <c r="AC256"/>
    </row>
    <row r="257" spans="7:29" ht="16" x14ac:dyDescent="0.2">
      <c r="G257"/>
      <c r="H257"/>
      <c r="I257"/>
      <c r="K257"/>
      <c r="M257" s="13"/>
      <c r="N257" s="13"/>
      <c r="O257" s="13"/>
      <c r="P257" s="18"/>
      <c r="Q257" s="13"/>
      <c r="R257" s="13"/>
      <c r="S257" s="13"/>
      <c r="T257" s="18"/>
      <c r="U257" s="13"/>
      <c r="V257" s="13"/>
      <c r="W257"/>
      <c r="AC257"/>
    </row>
    <row r="258" spans="7:29" ht="16" x14ac:dyDescent="0.2">
      <c r="G258"/>
      <c r="H258"/>
      <c r="I258"/>
      <c r="K258"/>
      <c r="M258" s="13"/>
      <c r="N258" s="13"/>
      <c r="O258" s="13"/>
      <c r="P258" s="18"/>
      <c r="Q258" s="13"/>
      <c r="R258" s="13"/>
      <c r="S258" s="13"/>
      <c r="T258" s="18"/>
      <c r="U258" s="13"/>
      <c r="V258" s="13"/>
      <c r="W258"/>
      <c r="AC258"/>
    </row>
    <row r="259" spans="7:29" ht="16" x14ac:dyDescent="0.2">
      <c r="G259"/>
      <c r="H259"/>
      <c r="I259"/>
      <c r="K259"/>
      <c r="M259" s="13"/>
      <c r="N259" s="13"/>
      <c r="O259" s="13"/>
      <c r="P259" s="18"/>
      <c r="Q259" s="13"/>
      <c r="R259" s="13"/>
      <c r="S259" s="13"/>
      <c r="T259" s="18"/>
      <c r="U259" s="13"/>
      <c r="V259" s="13"/>
      <c r="W259"/>
      <c r="AC259"/>
    </row>
    <row r="260" spans="7:29" ht="16" x14ac:dyDescent="0.2">
      <c r="G260"/>
      <c r="H260"/>
      <c r="I260"/>
      <c r="K260"/>
      <c r="M260" s="13"/>
      <c r="N260" s="13"/>
      <c r="O260" s="13"/>
      <c r="P260" s="18"/>
      <c r="Q260" s="13"/>
      <c r="R260" s="13"/>
      <c r="S260" s="13"/>
      <c r="T260" s="18"/>
      <c r="U260" s="13"/>
      <c r="V260" s="13"/>
      <c r="W260"/>
      <c r="AC260"/>
    </row>
    <row r="261" spans="7:29" ht="16" x14ac:dyDescent="0.2">
      <c r="G261"/>
      <c r="H261"/>
      <c r="I261"/>
      <c r="K261"/>
      <c r="M261" s="13"/>
      <c r="N261" s="13"/>
      <c r="O261" s="13"/>
      <c r="P261" s="18"/>
      <c r="Q261" s="13"/>
      <c r="R261" s="13"/>
      <c r="S261" s="13"/>
      <c r="T261" s="18"/>
      <c r="U261" s="13"/>
      <c r="V261" s="13"/>
      <c r="W261"/>
      <c r="AC261"/>
    </row>
    <row r="262" spans="7:29" ht="16" x14ac:dyDescent="0.2">
      <c r="G262"/>
      <c r="H262"/>
      <c r="I262"/>
      <c r="K262"/>
      <c r="M262" s="13"/>
      <c r="N262" s="13"/>
      <c r="O262" s="13"/>
      <c r="P262" s="18"/>
      <c r="Q262" s="13"/>
      <c r="R262" s="13"/>
      <c r="S262" s="13"/>
      <c r="T262" s="18"/>
      <c r="U262" s="13"/>
      <c r="V262" s="13"/>
      <c r="W262"/>
      <c r="AC262"/>
    </row>
    <row r="263" spans="7:29" ht="16" x14ac:dyDescent="0.2">
      <c r="G263"/>
      <c r="H263"/>
      <c r="I263"/>
      <c r="K263"/>
      <c r="M263" s="13"/>
      <c r="N263" s="13"/>
      <c r="O263" s="13"/>
      <c r="P263" s="18"/>
      <c r="Q263" s="13"/>
      <c r="R263" s="13"/>
      <c r="S263" s="13"/>
      <c r="T263" s="18"/>
      <c r="U263" s="13"/>
      <c r="V263" s="13"/>
      <c r="W263"/>
      <c r="AC263"/>
    </row>
    <row r="264" spans="7:29" ht="16" x14ac:dyDescent="0.2">
      <c r="G264"/>
      <c r="H264"/>
      <c r="I264"/>
      <c r="K264"/>
      <c r="M264" s="13"/>
      <c r="N264" s="13"/>
      <c r="O264" s="13"/>
      <c r="P264" s="18"/>
      <c r="Q264" s="13"/>
      <c r="R264" s="13"/>
      <c r="S264" s="13"/>
      <c r="T264" s="18"/>
      <c r="U264" s="13"/>
      <c r="V264" s="13"/>
      <c r="W264"/>
      <c r="AC264"/>
    </row>
    <row r="265" spans="7:29" ht="16" x14ac:dyDescent="0.2">
      <c r="G265"/>
      <c r="H265"/>
      <c r="I265"/>
      <c r="K265"/>
      <c r="M265" s="13"/>
      <c r="N265" s="13"/>
      <c r="O265" s="13"/>
      <c r="P265" s="18"/>
      <c r="Q265" s="13"/>
      <c r="R265" s="13"/>
      <c r="S265" s="13"/>
      <c r="T265" s="18"/>
      <c r="U265" s="13"/>
      <c r="V265" s="13"/>
      <c r="W265"/>
      <c r="AC265"/>
    </row>
    <row r="266" spans="7:29" ht="16" x14ac:dyDescent="0.2">
      <c r="G266"/>
      <c r="H266"/>
      <c r="I266"/>
      <c r="K266"/>
      <c r="M266" s="13"/>
      <c r="N266" s="13"/>
      <c r="O266" s="13"/>
      <c r="P266" s="18"/>
      <c r="Q266" s="13"/>
      <c r="R266" s="13"/>
      <c r="S266" s="13"/>
      <c r="T266" s="18"/>
      <c r="U266" s="13"/>
      <c r="V266" s="13"/>
      <c r="W266"/>
      <c r="AC266"/>
    </row>
    <row r="267" spans="7:29" ht="16" x14ac:dyDescent="0.2">
      <c r="G267"/>
      <c r="H267"/>
      <c r="I267"/>
      <c r="K267"/>
      <c r="M267" s="13"/>
      <c r="N267" s="13"/>
      <c r="O267" s="13"/>
      <c r="P267" s="18"/>
      <c r="Q267" s="13"/>
      <c r="R267" s="13"/>
      <c r="S267" s="13"/>
      <c r="T267" s="18"/>
      <c r="U267" s="13"/>
      <c r="V267" s="13"/>
      <c r="W267"/>
      <c r="AC267"/>
    </row>
    <row r="268" spans="7:29" ht="16" x14ac:dyDescent="0.2">
      <c r="G268"/>
      <c r="H268"/>
      <c r="I268"/>
      <c r="K268"/>
      <c r="M268" s="13"/>
      <c r="N268" s="13"/>
      <c r="O268" s="13"/>
      <c r="P268" s="18"/>
      <c r="Q268" s="13"/>
      <c r="R268" s="13"/>
      <c r="S268" s="13"/>
      <c r="T268" s="18"/>
      <c r="U268" s="13"/>
      <c r="V268" s="13"/>
      <c r="W268"/>
      <c r="AC268"/>
    </row>
    <row r="269" spans="7:29" ht="16" x14ac:dyDescent="0.2">
      <c r="G269"/>
      <c r="H269"/>
      <c r="I269"/>
      <c r="K269"/>
      <c r="M269" s="13"/>
      <c r="N269" s="13"/>
      <c r="O269" s="13"/>
      <c r="P269" s="18"/>
      <c r="Q269" s="13"/>
      <c r="R269" s="13"/>
      <c r="S269" s="13"/>
      <c r="T269" s="18"/>
      <c r="U269" s="13"/>
      <c r="V269" s="13"/>
      <c r="W269"/>
      <c r="AC269"/>
    </row>
    <row r="270" spans="7:29" ht="16" x14ac:dyDescent="0.2">
      <c r="G270"/>
      <c r="H270"/>
      <c r="I270"/>
      <c r="K270"/>
      <c r="M270" s="13"/>
      <c r="N270" s="13"/>
      <c r="O270" s="13"/>
      <c r="P270" s="18"/>
      <c r="Q270" s="13"/>
      <c r="R270" s="13"/>
      <c r="S270" s="13"/>
      <c r="T270" s="18"/>
      <c r="U270" s="13"/>
      <c r="V270" s="13"/>
      <c r="W270"/>
      <c r="AC270"/>
    </row>
    <row r="271" spans="7:29" ht="16" x14ac:dyDescent="0.2">
      <c r="G271"/>
      <c r="H271"/>
      <c r="I271"/>
      <c r="K271"/>
      <c r="M271" s="13"/>
      <c r="N271" s="13"/>
      <c r="O271" s="13"/>
      <c r="P271" s="18"/>
      <c r="Q271" s="13"/>
      <c r="R271" s="13"/>
      <c r="S271" s="13"/>
      <c r="T271" s="18"/>
      <c r="U271" s="13"/>
      <c r="V271" s="13"/>
      <c r="W271"/>
      <c r="AC271"/>
    </row>
    <row r="272" spans="7:29" ht="16" x14ac:dyDescent="0.2">
      <c r="G272"/>
      <c r="H272"/>
      <c r="I272"/>
      <c r="K272"/>
      <c r="M272" s="13"/>
      <c r="N272" s="13"/>
      <c r="O272" s="13"/>
      <c r="P272" s="18"/>
      <c r="Q272" s="13"/>
      <c r="R272" s="13"/>
      <c r="S272" s="13"/>
      <c r="T272" s="18"/>
      <c r="U272" s="13"/>
      <c r="V272" s="13"/>
      <c r="W272"/>
      <c r="AC272"/>
    </row>
    <row r="273" spans="7:29" ht="16" x14ac:dyDescent="0.2">
      <c r="G273"/>
      <c r="H273"/>
      <c r="I273"/>
      <c r="K273"/>
      <c r="M273" s="13"/>
      <c r="N273" s="13"/>
      <c r="O273" s="13"/>
      <c r="P273" s="18"/>
      <c r="Q273" s="13"/>
      <c r="R273" s="13"/>
      <c r="S273" s="13"/>
      <c r="T273" s="18"/>
      <c r="U273" s="13"/>
      <c r="V273" s="13"/>
      <c r="W273"/>
      <c r="AC273"/>
    </row>
    <row r="274" spans="7:29" ht="16" x14ac:dyDescent="0.2">
      <c r="G274"/>
      <c r="H274"/>
      <c r="I274"/>
      <c r="K274"/>
      <c r="M274" s="13"/>
      <c r="N274" s="13"/>
      <c r="O274" s="13"/>
      <c r="P274" s="18"/>
      <c r="Q274" s="13"/>
      <c r="R274" s="13"/>
      <c r="S274" s="13"/>
      <c r="T274" s="18"/>
      <c r="U274" s="13"/>
      <c r="V274" s="13"/>
      <c r="W274"/>
      <c r="AC274"/>
    </row>
    <row r="275" spans="7:29" ht="16" x14ac:dyDescent="0.2">
      <c r="G275"/>
      <c r="H275"/>
      <c r="I275"/>
      <c r="K275"/>
      <c r="M275" s="13"/>
      <c r="N275" s="13"/>
      <c r="O275" s="13"/>
      <c r="P275" s="18"/>
      <c r="Q275" s="13"/>
      <c r="R275" s="13"/>
      <c r="S275" s="13"/>
      <c r="T275" s="18"/>
      <c r="U275" s="13"/>
      <c r="V275" s="13"/>
      <c r="W275"/>
      <c r="AC275"/>
    </row>
    <row r="276" spans="7:29" ht="16" x14ac:dyDescent="0.2">
      <c r="G276"/>
      <c r="H276"/>
      <c r="I276"/>
      <c r="K276"/>
      <c r="M276" s="13"/>
      <c r="N276" s="13"/>
      <c r="O276" s="13"/>
      <c r="P276" s="18"/>
      <c r="Q276" s="13"/>
      <c r="R276" s="13"/>
      <c r="S276" s="13"/>
      <c r="T276" s="18"/>
      <c r="U276" s="13"/>
      <c r="V276" s="13"/>
      <c r="W276"/>
      <c r="AC276"/>
    </row>
    <row r="277" spans="7:29" ht="16" x14ac:dyDescent="0.2">
      <c r="G277"/>
      <c r="H277"/>
      <c r="I277"/>
      <c r="K277"/>
      <c r="M277" s="13"/>
      <c r="N277" s="13"/>
      <c r="O277" s="13"/>
      <c r="P277" s="18"/>
      <c r="Q277" s="13"/>
      <c r="R277" s="13"/>
      <c r="S277" s="13"/>
      <c r="T277" s="18"/>
      <c r="U277" s="13"/>
      <c r="V277" s="13"/>
      <c r="W277"/>
      <c r="AC277"/>
    </row>
    <row r="278" spans="7:29" ht="16" x14ac:dyDescent="0.2">
      <c r="G278"/>
      <c r="H278"/>
      <c r="I278"/>
      <c r="K278"/>
      <c r="M278" s="13"/>
      <c r="N278" s="13"/>
      <c r="O278" s="13"/>
      <c r="P278" s="18"/>
      <c r="Q278" s="13"/>
      <c r="R278" s="13"/>
      <c r="S278" s="13"/>
      <c r="T278" s="18"/>
      <c r="U278" s="13"/>
      <c r="V278" s="13"/>
      <c r="W278"/>
      <c r="AC278"/>
    </row>
    <row r="279" spans="7:29" ht="16" x14ac:dyDescent="0.2">
      <c r="G279"/>
      <c r="H279"/>
      <c r="I279"/>
      <c r="K279"/>
      <c r="M279" s="13"/>
      <c r="N279" s="13"/>
      <c r="O279" s="13"/>
      <c r="P279" s="18"/>
      <c r="Q279" s="13"/>
      <c r="R279" s="13"/>
      <c r="S279" s="13"/>
      <c r="T279" s="18"/>
      <c r="U279" s="13"/>
      <c r="V279" s="13"/>
      <c r="W279"/>
      <c r="AC279"/>
    </row>
    <row r="280" spans="7:29" ht="16" x14ac:dyDescent="0.2">
      <c r="G280"/>
      <c r="H280"/>
      <c r="I280"/>
      <c r="K280"/>
      <c r="M280" s="13"/>
      <c r="N280" s="13"/>
      <c r="O280" s="13"/>
      <c r="P280" s="18"/>
      <c r="Q280" s="13"/>
      <c r="R280" s="13"/>
      <c r="S280" s="13"/>
      <c r="T280" s="18"/>
      <c r="U280" s="13"/>
      <c r="V280" s="13"/>
      <c r="W280"/>
      <c r="AC280"/>
    </row>
    <row r="281" spans="7:29" ht="16" x14ac:dyDescent="0.2">
      <c r="G281"/>
      <c r="H281"/>
      <c r="I281"/>
      <c r="K281"/>
      <c r="M281" s="13"/>
      <c r="N281" s="13"/>
      <c r="O281" s="13"/>
      <c r="P281" s="18"/>
      <c r="Q281" s="13"/>
      <c r="R281" s="13"/>
      <c r="S281" s="13"/>
      <c r="T281" s="18"/>
      <c r="U281" s="13"/>
      <c r="V281" s="13"/>
      <c r="W281"/>
      <c r="AC281"/>
    </row>
    <row r="282" spans="7:29" ht="16" x14ac:dyDescent="0.2">
      <c r="G282"/>
      <c r="H282"/>
      <c r="I282"/>
      <c r="K282"/>
      <c r="M282" s="13"/>
      <c r="N282" s="13"/>
      <c r="O282" s="13"/>
      <c r="P282" s="18"/>
      <c r="Q282" s="13"/>
      <c r="R282" s="13"/>
      <c r="S282" s="13"/>
      <c r="T282" s="18"/>
      <c r="U282" s="13"/>
      <c r="V282" s="13"/>
      <c r="W282"/>
      <c r="AC282"/>
    </row>
    <row r="283" spans="7:29" ht="16" x14ac:dyDescent="0.2">
      <c r="G283"/>
      <c r="H283"/>
      <c r="I283"/>
      <c r="K283"/>
      <c r="M283" s="13"/>
      <c r="N283" s="13"/>
      <c r="O283" s="13"/>
      <c r="P283" s="18"/>
      <c r="Q283" s="13"/>
      <c r="R283" s="13"/>
      <c r="S283" s="13"/>
      <c r="T283" s="18"/>
      <c r="U283" s="13"/>
      <c r="V283" s="13"/>
      <c r="W283"/>
      <c r="AC283"/>
    </row>
    <row r="284" spans="7:29" ht="16" x14ac:dyDescent="0.2">
      <c r="G284"/>
      <c r="H284"/>
      <c r="I284"/>
      <c r="K284"/>
      <c r="M284" s="13"/>
      <c r="N284" s="13"/>
      <c r="O284" s="13"/>
      <c r="P284" s="18"/>
      <c r="Q284" s="13"/>
      <c r="R284" s="13"/>
      <c r="S284" s="13"/>
      <c r="T284" s="18"/>
      <c r="U284" s="13"/>
      <c r="V284" s="13"/>
      <c r="W284"/>
      <c r="AC284"/>
    </row>
    <row r="285" spans="7:29" ht="16" x14ac:dyDescent="0.2">
      <c r="G285"/>
      <c r="H285"/>
      <c r="I285"/>
      <c r="K285"/>
      <c r="M285" s="13"/>
      <c r="N285" s="13"/>
      <c r="O285" s="13"/>
      <c r="P285" s="18"/>
      <c r="Q285" s="13"/>
      <c r="R285" s="13"/>
      <c r="S285" s="13"/>
      <c r="T285" s="18"/>
      <c r="U285" s="13"/>
      <c r="V285" s="13"/>
      <c r="W285"/>
      <c r="AC285"/>
    </row>
    <row r="286" spans="7:29" ht="16" x14ac:dyDescent="0.2">
      <c r="G286"/>
      <c r="H286"/>
      <c r="I286"/>
      <c r="K286"/>
      <c r="M286" s="13"/>
      <c r="N286" s="13"/>
      <c r="O286" s="13"/>
      <c r="P286" s="18"/>
      <c r="Q286" s="13"/>
      <c r="R286" s="13"/>
      <c r="S286" s="13"/>
      <c r="T286" s="18"/>
      <c r="U286" s="13"/>
      <c r="V286" s="13"/>
      <c r="W286"/>
      <c r="AC286"/>
    </row>
    <row r="287" spans="7:29" ht="16" x14ac:dyDescent="0.2">
      <c r="G287"/>
      <c r="H287"/>
      <c r="I287"/>
      <c r="K287"/>
      <c r="M287" s="13"/>
      <c r="N287" s="13"/>
      <c r="O287" s="13"/>
      <c r="P287" s="18"/>
      <c r="Q287" s="13"/>
      <c r="R287" s="13"/>
      <c r="S287" s="13"/>
      <c r="T287" s="18"/>
      <c r="U287" s="13"/>
      <c r="V287" s="13"/>
      <c r="W287"/>
      <c r="AC287"/>
    </row>
    <row r="288" spans="7:29" ht="16" x14ac:dyDescent="0.2">
      <c r="G288"/>
      <c r="H288"/>
      <c r="I288"/>
      <c r="K288"/>
      <c r="M288" s="13"/>
      <c r="N288" s="13"/>
      <c r="O288" s="13"/>
      <c r="P288" s="18"/>
      <c r="Q288" s="13"/>
      <c r="R288" s="13"/>
      <c r="S288" s="13"/>
      <c r="T288" s="18"/>
      <c r="U288" s="13"/>
      <c r="V288" s="13"/>
      <c r="W288"/>
      <c r="AC288"/>
    </row>
    <row r="289" spans="7:29" ht="16" x14ac:dyDescent="0.2">
      <c r="G289"/>
      <c r="H289"/>
      <c r="I289"/>
      <c r="K289"/>
      <c r="M289" s="13"/>
      <c r="N289" s="13"/>
      <c r="O289" s="13"/>
      <c r="P289" s="18"/>
      <c r="Q289" s="13"/>
      <c r="R289" s="13"/>
      <c r="S289" s="13"/>
      <c r="T289" s="18"/>
      <c r="U289" s="13"/>
      <c r="V289" s="13"/>
      <c r="W289"/>
      <c r="AC289"/>
    </row>
    <row r="290" spans="7:29" ht="16" x14ac:dyDescent="0.2">
      <c r="G290"/>
      <c r="H290"/>
      <c r="I290"/>
      <c r="K290"/>
      <c r="M290" s="13"/>
      <c r="N290" s="13"/>
      <c r="O290" s="13"/>
      <c r="P290" s="18"/>
      <c r="Q290" s="13"/>
      <c r="R290" s="13"/>
      <c r="S290" s="13"/>
      <c r="T290" s="18"/>
      <c r="U290" s="13"/>
      <c r="V290" s="13"/>
      <c r="W290"/>
      <c r="AC290"/>
    </row>
    <row r="291" spans="7:29" ht="16" x14ac:dyDescent="0.2">
      <c r="G291"/>
      <c r="H291"/>
      <c r="I291"/>
      <c r="K291"/>
      <c r="M291" s="13"/>
      <c r="N291" s="13"/>
      <c r="O291" s="13"/>
      <c r="P291" s="18"/>
      <c r="Q291" s="13"/>
      <c r="R291" s="13"/>
      <c r="S291" s="13"/>
      <c r="T291" s="18"/>
      <c r="U291" s="13"/>
      <c r="V291" s="13"/>
      <c r="W291"/>
      <c r="AC291"/>
    </row>
    <row r="292" spans="7:29" ht="16" x14ac:dyDescent="0.2">
      <c r="G292"/>
      <c r="H292"/>
      <c r="I292"/>
      <c r="K292"/>
      <c r="M292" s="13"/>
      <c r="N292" s="13"/>
      <c r="O292" s="13"/>
      <c r="P292" s="18"/>
      <c r="Q292" s="13"/>
      <c r="R292" s="13"/>
      <c r="S292" s="13"/>
      <c r="T292" s="18"/>
      <c r="U292" s="13"/>
      <c r="V292" s="13"/>
      <c r="W292"/>
      <c r="AC292"/>
    </row>
    <row r="293" spans="7:29" ht="16" x14ac:dyDescent="0.2">
      <c r="G293"/>
      <c r="H293"/>
      <c r="I293"/>
      <c r="K293"/>
      <c r="M293" s="13"/>
      <c r="N293" s="13"/>
      <c r="O293" s="13"/>
      <c r="P293" s="18"/>
      <c r="Q293" s="13"/>
      <c r="R293" s="13"/>
      <c r="S293" s="13"/>
      <c r="T293" s="18"/>
      <c r="U293" s="13"/>
      <c r="V293" s="13"/>
      <c r="W293"/>
      <c r="AC293"/>
    </row>
    <row r="294" spans="7:29" ht="16" x14ac:dyDescent="0.2">
      <c r="G294"/>
      <c r="H294"/>
      <c r="I294"/>
      <c r="K294"/>
      <c r="M294" s="13"/>
      <c r="N294" s="13"/>
      <c r="O294" s="13"/>
      <c r="P294" s="18"/>
      <c r="Q294" s="13"/>
      <c r="R294" s="13"/>
      <c r="S294" s="13"/>
      <c r="T294" s="18"/>
      <c r="U294" s="13"/>
      <c r="V294" s="13"/>
      <c r="W294"/>
      <c r="AC294"/>
    </row>
    <row r="295" spans="7:29" ht="16" x14ac:dyDescent="0.2">
      <c r="G295"/>
      <c r="H295"/>
      <c r="I295"/>
      <c r="K295"/>
      <c r="M295" s="13"/>
      <c r="N295" s="13"/>
      <c r="O295" s="13"/>
      <c r="P295" s="18"/>
      <c r="Q295" s="13"/>
      <c r="R295" s="13"/>
      <c r="S295" s="13"/>
      <c r="T295" s="18"/>
      <c r="U295" s="13"/>
      <c r="V295" s="13"/>
      <c r="W295"/>
      <c r="AC295"/>
    </row>
    <row r="296" spans="7:29" ht="16" x14ac:dyDescent="0.2">
      <c r="G296"/>
      <c r="H296"/>
      <c r="I296"/>
      <c r="K296"/>
      <c r="M296" s="13"/>
      <c r="N296" s="13"/>
      <c r="O296" s="13"/>
      <c r="P296" s="18"/>
      <c r="Q296" s="13"/>
      <c r="R296" s="13"/>
      <c r="S296" s="13"/>
      <c r="T296" s="18"/>
      <c r="U296" s="13"/>
      <c r="V296" s="13"/>
      <c r="W296"/>
      <c r="AC296"/>
    </row>
    <row r="297" spans="7:29" ht="16" x14ac:dyDescent="0.2">
      <c r="G297"/>
      <c r="H297"/>
      <c r="I297"/>
      <c r="K297"/>
      <c r="M297" s="13"/>
      <c r="N297" s="13"/>
      <c r="O297" s="13"/>
      <c r="P297" s="18"/>
      <c r="Q297" s="13"/>
      <c r="R297" s="13"/>
      <c r="S297" s="13"/>
      <c r="T297" s="18"/>
      <c r="U297" s="13"/>
      <c r="V297" s="13"/>
      <c r="W297"/>
      <c r="AC297"/>
    </row>
    <row r="298" spans="7:29" ht="16" x14ac:dyDescent="0.2">
      <c r="G298"/>
      <c r="H298"/>
      <c r="I298"/>
      <c r="K298"/>
      <c r="M298" s="13"/>
      <c r="N298" s="13"/>
      <c r="O298" s="13"/>
      <c r="P298" s="18"/>
      <c r="Q298" s="13"/>
      <c r="R298" s="13"/>
      <c r="S298" s="13"/>
      <c r="T298" s="18"/>
      <c r="U298" s="13"/>
      <c r="V298" s="13"/>
      <c r="W298"/>
      <c r="AC298"/>
    </row>
    <row r="299" spans="7:29" ht="16" x14ac:dyDescent="0.2">
      <c r="G299"/>
      <c r="H299"/>
      <c r="I299"/>
      <c r="K299"/>
      <c r="M299" s="13"/>
      <c r="N299" s="13"/>
      <c r="O299" s="13"/>
      <c r="P299" s="18"/>
      <c r="Q299" s="13"/>
      <c r="R299" s="13"/>
      <c r="S299" s="13"/>
      <c r="T299" s="18"/>
      <c r="U299" s="13"/>
      <c r="V299" s="13"/>
      <c r="W299"/>
      <c r="AC299"/>
    </row>
    <row r="300" spans="7:29" ht="16" x14ac:dyDescent="0.2">
      <c r="G300"/>
      <c r="H300"/>
      <c r="I300"/>
      <c r="K300"/>
      <c r="M300" s="13"/>
      <c r="N300" s="13"/>
      <c r="O300" s="13"/>
      <c r="P300" s="18"/>
      <c r="Q300" s="13"/>
      <c r="R300" s="13"/>
      <c r="S300" s="13"/>
      <c r="T300" s="18"/>
      <c r="U300" s="13"/>
      <c r="V300" s="13"/>
      <c r="W300"/>
      <c r="AC300"/>
    </row>
    <row r="301" spans="7:29" ht="16" x14ac:dyDescent="0.2">
      <c r="G301"/>
      <c r="H301"/>
      <c r="I301"/>
      <c r="K301"/>
      <c r="M301" s="13"/>
      <c r="N301" s="13"/>
      <c r="O301" s="13"/>
      <c r="P301" s="18"/>
      <c r="Q301" s="13"/>
      <c r="R301" s="13"/>
      <c r="S301" s="13"/>
      <c r="T301" s="18"/>
      <c r="U301" s="13"/>
      <c r="V301" s="13"/>
      <c r="W301"/>
      <c r="AC301"/>
    </row>
    <row r="302" spans="7:29" ht="16" x14ac:dyDescent="0.2">
      <c r="G302"/>
      <c r="H302"/>
      <c r="I302"/>
      <c r="K302"/>
      <c r="M302" s="13"/>
      <c r="N302" s="13"/>
      <c r="O302" s="13"/>
      <c r="P302" s="18"/>
      <c r="Q302" s="13"/>
      <c r="R302" s="13"/>
      <c r="S302" s="13"/>
      <c r="T302" s="18"/>
      <c r="U302" s="13"/>
      <c r="V302" s="13"/>
      <c r="W302"/>
      <c r="AC302"/>
    </row>
    <row r="303" spans="7:29" ht="16" x14ac:dyDescent="0.2">
      <c r="G303"/>
      <c r="H303"/>
      <c r="I303"/>
      <c r="K303"/>
      <c r="M303" s="13"/>
      <c r="N303" s="13"/>
      <c r="O303" s="13"/>
      <c r="P303" s="18"/>
      <c r="Q303" s="13"/>
      <c r="R303" s="13"/>
      <c r="S303" s="13"/>
      <c r="T303" s="18"/>
      <c r="U303" s="13"/>
      <c r="V303" s="13"/>
      <c r="W303"/>
      <c r="AC303"/>
    </row>
    <row r="304" spans="7:29" ht="16" x14ac:dyDescent="0.2">
      <c r="G304"/>
      <c r="H304"/>
      <c r="I304"/>
      <c r="K304"/>
      <c r="M304" s="13"/>
      <c r="N304" s="13"/>
      <c r="O304" s="13"/>
      <c r="P304" s="18"/>
      <c r="Q304" s="13"/>
      <c r="R304" s="13"/>
      <c r="S304" s="13"/>
      <c r="T304" s="18"/>
      <c r="U304" s="13"/>
      <c r="V304" s="13"/>
      <c r="W304"/>
      <c r="AC304"/>
    </row>
    <row r="305" spans="7:29" ht="16" x14ac:dyDescent="0.2">
      <c r="G305"/>
      <c r="H305"/>
      <c r="I305"/>
      <c r="K305"/>
      <c r="M305" s="13"/>
      <c r="N305" s="13"/>
      <c r="O305" s="13"/>
      <c r="P305" s="18"/>
      <c r="Q305" s="13"/>
      <c r="R305" s="13"/>
      <c r="S305" s="13"/>
      <c r="T305" s="18"/>
      <c r="U305" s="13"/>
      <c r="V305" s="13"/>
      <c r="W305"/>
      <c r="AC305"/>
    </row>
    <row r="306" spans="7:29" ht="16" x14ac:dyDescent="0.2">
      <c r="G306"/>
      <c r="H306"/>
      <c r="I306"/>
      <c r="K306"/>
      <c r="M306" s="13"/>
      <c r="N306" s="13"/>
      <c r="O306" s="13"/>
      <c r="P306" s="18"/>
      <c r="Q306" s="13"/>
      <c r="R306" s="13"/>
      <c r="S306" s="13"/>
      <c r="T306" s="18"/>
      <c r="U306" s="13"/>
      <c r="V306" s="13"/>
      <c r="W306"/>
      <c r="AC306"/>
    </row>
    <row r="307" spans="7:29" ht="16" x14ac:dyDescent="0.2">
      <c r="G307"/>
      <c r="H307"/>
      <c r="I307"/>
      <c r="K307"/>
      <c r="M307" s="13"/>
      <c r="N307" s="13"/>
      <c r="O307" s="13"/>
      <c r="P307" s="18"/>
      <c r="Q307" s="13"/>
      <c r="R307" s="13"/>
      <c r="S307" s="13"/>
      <c r="T307" s="18"/>
      <c r="U307" s="13"/>
      <c r="V307" s="13"/>
      <c r="W307"/>
      <c r="AC307"/>
    </row>
    <row r="308" spans="7:29" ht="16" x14ac:dyDescent="0.2">
      <c r="G308"/>
      <c r="H308"/>
      <c r="I308"/>
      <c r="K308"/>
      <c r="M308" s="13"/>
      <c r="N308" s="13"/>
      <c r="O308" s="13"/>
      <c r="P308" s="18"/>
      <c r="Q308" s="13"/>
      <c r="R308" s="13"/>
      <c r="S308" s="13"/>
      <c r="T308" s="18"/>
      <c r="U308" s="13"/>
      <c r="V308" s="13"/>
      <c r="W308"/>
      <c r="AC308"/>
    </row>
    <row r="309" spans="7:29" ht="16" x14ac:dyDescent="0.2">
      <c r="G309"/>
      <c r="H309"/>
      <c r="I309"/>
      <c r="K309"/>
      <c r="M309" s="13"/>
      <c r="N309" s="13"/>
      <c r="O309" s="13"/>
      <c r="P309" s="18"/>
      <c r="Q309" s="13"/>
      <c r="R309" s="13"/>
      <c r="S309" s="13"/>
      <c r="T309" s="18"/>
      <c r="U309" s="13"/>
      <c r="V309" s="13"/>
      <c r="W309"/>
      <c r="AC309"/>
    </row>
    <row r="310" spans="7:29" ht="16" x14ac:dyDescent="0.2">
      <c r="G310"/>
      <c r="H310"/>
      <c r="I310"/>
      <c r="K310"/>
      <c r="M310" s="13"/>
      <c r="N310" s="13"/>
      <c r="O310" s="13"/>
      <c r="P310" s="18"/>
      <c r="Q310" s="13"/>
      <c r="R310" s="13"/>
      <c r="S310" s="13"/>
      <c r="T310" s="18"/>
      <c r="U310" s="13"/>
      <c r="V310" s="13"/>
      <c r="W310"/>
      <c r="AC310"/>
    </row>
    <row r="311" spans="7:29" ht="16" x14ac:dyDescent="0.2">
      <c r="G311"/>
      <c r="H311"/>
      <c r="I311"/>
      <c r="K311"/>
      <c r="M311" s="13"/>
      <c r="N311" s="13"/>
      <c r="O311" s="13"/>
      <c r="P311" s="18"/>
      <c r="Q311" s="13"/>
      <c r="R311" s="13"/>
      <c r="S311" s="13"/>
      <c r="T311" s="18"/>
      <c r="U311" s="13"/>
      <c r="V311" s="13"/>
      <c r="W311"/>
      <c r="AC311"/>
    </row>
    <row r="312" spans="7:29" ht="16" x14ac:dyDescent="0.2">
      <c r="G312"/>
      <c r="H312"/>
      <c r="I312"/>
      <c r="K312"/>
      <c r="M312" s="13"/>
      <c r="N312" s="13"/>
      <c r="O312" s="13"/>
      <c r="P312" s="18"/>
      <c r="Q312" s="13"/>
      <c r="R312" s="13"/>
      <c r="S312" s="13"/>
      <c r="T312" s="18"/>
      <c r="U312" s="13"/>
      <c r="V312" s="13"/>
      <c r="W312"/>
      <c r="AC312"/>
    </row>
    <row r="313" spans="7:29" ht="16" x14ac:dyDescent="0.2">
      <c r="G313"/>
      <c r="H313"/>
      <c r="I313"/>
      <c r="K313"/>
      <c r="M313" s="13"/>
      <c r="N313" s="13"/>
      <c r="O313" s="13"/>
      <c r="P313" s="18"/>
      <c r="Q313" s="13"/>
      <c r="R313" s="13"/>
      <c r="S313" s="13"/>
      <c r="T313" s="18"/>
      <c r="U313" s="13"/>
      <c r="V313" s="13"/>
      <c r="W313"/>
      <c r="AC313"/>
    </row>
    <row r="314" spans="7:29" ht="16" x14ac:dyDescent="0.2">
      <c r="G314"/>
      <c r="H314"/>
      <c r="I314"/>
      <c r="K314"/>
      <c r="M314" s="13"/>
      <c r="N314" s="13"/>
      <c r="O314" s="13"/>
      <c r="P314" s="18"/>
      <c r="Q314" s="13"/>
      <c r="R314" s="13"/>
      <c r="S314" s="13"/>
      <c r="T314" s="18"/>
      <c r="U314" s="13"/>
      <c r="V314" s="13"/>
      <c r="W314"/>
      <c r="AC314"/>
    </row>
    <row r="315" spans="7:29" ht="16" x14ac:dyDescent="0.2">
      <c r="G315"/>
      <c r="H315"/>
      <c r="I315"/>
      <c r="K315"/>
      <c r="M315" s="13"/>
      <c r="N315" s="13"/>
      <c r="O315" s="13"/>
      <c r="P315" s="18"/>
      <c r="Q315" s="13"/>
      <c r="R315" s="13"/>
      <c r="S315" s="13"/>
      <c r="T315" s="18"/>
      <c r="U315" s="13"/>
      <c r="V315" s="13"/>
      <c r="W315"/>
      <c r="AC315"/>
    </row>
    <row r="316" spans="7:29" ht="16" x14ac:dyDescent="0.2">
      <c r="G316"/>
      <c r="H316"/>
      <c r="I316"/>
      <c r="K316"/>
      <c r="M316" s="13"/>
      <c r="N316" s="13"/>
      <c r="O316" s="13"/>
      <c r="P316" s="18"/>
      <c r="Q316" s="13"/>
      <c r="R316" s="13"/>
      <c r="S316" s="13"/>
      <c r="T316" s="18"/>
      <c r="U316" s="13"/>
      <c r="V316" s="13"/>
      <c r="W316"/>
      <c r="AC316"/>
    </row>
    <row r="317" spans="7:29" ht="16" x14ac:dyDescent="0.2">
      <c r="G317"/>
      <c r="H317"/>
      <c r="I317"/>
      <c r="K317"/>
      <c r="M317" s="13"/>
      <c r="N317" s="13"/>
      <c r="O317" s="13"/>
      <c r="P317" s="18"/>
      <c r="Q317" s="13"/>
      <c r="R317" s="13"/>
      <c r="S317" s="13"/>
      <c r="T317" s="18"/>
      <c r="U317" s="13"/>
      <c r="V317" s="13"/>
      <c r="W317"/>
      <c r="AC317"/>
    </row>
    <row r="318" spans="7:29" ht="16" x14ac:dyDescent="0.2">
      <c r="G318"/>
      <c r="H318"/>
      <c r="I318"/>
      <c r="K318"/>
      <c r="M318" s="13"/>
      <c r="N318" s="13"/>
      <c r="O318" s="13"/>
      <c r="P318" s="18"/>
      <c r="Q318" s="13"/>
      <c r="R318" s="13"/>
      <c r="S318" s="13"/>
      <c r="T318" s="18"/>
      <c r="U318" s="13"/>
      <c r="V318" s="13"/>
      <c r="W318"/>
      <c r="AC318"/>
    </row>
    <row r="319" spans="7:29" ht="16" x14ac:dyDescent="0.2">
      <c r="G319"/>
      <c r="H319"/>
      <c r="I319"/>
      <c r="K319"/>
      <c r="M319" s="13"/>
      <c r="N319" s="13"/>
      <c r="O319" s="13"/>
      <c r="P319" s="18"/>
      <c r="Q319" s="13"/>
      <c r="R319" s="13"/>
      <c r="S319" s="13"/>
      <c r="T319" s="18"/>
      <c r="U319" s="13"/>
      <c r="V319" s="13"/>
      <c r="W319"/>
      <c r="AC319"/>
    </row>
    <row r="320" spans="7:29" ht="16" x14ac:dyDescent="0.2">
      <c r="G320"/>
      <c r="H320"/>
      <c r="I320"/>
      <c r="K320"/>
      <c r="M320" s="13"/>
      <c r="N320" s="13"/>
      <c r="O320" s="13"/>
      <c r="P320" s="18"/>
      <c r="Q320" s="13"/>
      <c r="R320" s="13"/>
      <c r="S320" s="13"/>
      <c r="T320" s="18"/>
      <c r="U320" s="13"/>
      <c r="V320" s="13"/>
      <c r="W320"/>
      <c r="AC320"/>
    </row>
    <row r="321" spans="7:29" ht="16" x14ac:dyDescent="0.2">
      <c r="G321"/>
      <c r="H321"/>
      <c r="I321"/>
      <c r="K321"/>
      <c r="M321" s="13"/>
      <c r="N321" s="13"/>
      <c r="O321" s="13"/>
      <c r="P321" s="18"/>
      <c r="Q321" s="13"/>
      <c r="R321" s="13"/>
      <c r="S321" s="13"/>
      <c r="T321" s="18"/>
      <c r="U321" s="13"/>
      <c r="V321" s="13"/>
      <c r="W321"/>
      <c r="AC321"/>
    </row>
    <row r="322" spans="7:29" ht="16" x14ac:dyDescent="0.2">
      <c r="G322"/>
      <c r="H322"/>
      <c r="I322"/>
      <c r="K322"/>
      <c r="M322" s="13"/>
      <c r="N322" s="13"/>
      <c r="O322" s="13"/>
      <c r="P322" s="18"/>
      <c r="Q322" s="13"/>
      <c r="R322" s="13"/>
      <c r="S322" s="13"/>
      <c r="T322" s="18"/>
      <c r="U322" s="13"/>
      <c r="V322" s="13"/>
      <c r="W322"/>
      <c r="AC322"/>
    </row>
    <row r="323" spans="7:29" ht="16" x14ac:dyDescent="0.2">
      <c r="G323"/>
      <c r="H323"/>
      <c r="I323"/>
      <c r="K323"/>
      <c r="M323" s="13"/>
      <c r="N323" s="13"/>
      <c r="O323" s="13"/>
      <c r="P323" s="18"/>
      <c r="Q323" s="13"/>
      <c r="R323" s="13"/>
      <c r="S323" s="13"/>
      <c r="T323" s="18"/>
      <c r="U323" s="13"/>
      <c r="V323" s="13"/>
      <c r="W323"/>
      <c r="AC323"/>
    </row>
    <row r="324" spans="7:29" ht="16" x14ac:dyDescent="0.2">
      <c r="G324"/>
      <c r="H324"/>
      <c r="I324"/>
      <c r="K324"/>
      <c r="M324" s="13"/>
      <c r="N324" s="13"/>
      <c r="O324" s="13"/>
      <c r="P324" s="18"/>
      <c r="Q324" s="13"/>
      <c r="R324" s="13"/>
      <c r="S324" s="13"/>
      <c r="T324" s="18"/>
      <c r="U324" s="13"/>
      <c r="V324" s="13"/>
      <c r="W324"/>
      <c r="AC324"/>
    </row>
    <row r="325" spans="7:29" ht="16" x14ac:dyDescent="0.2">
      <c r="G325"/>
      <c r="H325"/>
      <c r="I325"/>
      <c r="K325"/>
      <c r="M325" s="13"/>
      <c r="N325" s="13"/>
      <c r="O325" s="13"/>
      <c r="P325" s="18"/>
      <c r="Q325" s="13"/>
      <c r="R325" s="13"/>
      <c r="S325" s="13"/>
      <c r="T325" s="18"/>
      <c r="U325" s="13"/>
      <c r="V325" s="13"/>
      <c r="W325"/>
      <c r="AC325"/>
    </row>
    <row r="326" spans="7:29" ht="16" x14ac:dyDescent="0.2">
      <c r="G326"/>
      <c r="H326"/>
      <c r="I326"/>
      <c r="K326"/>
      <c r="M326" s="13"/>
      <c r="N326" s="13"/>
      <c r="O326" s="13"/>
      <c r="P326" s="18"/>
      <c r="Q326" s="13"/>
      <c r="R326" s="13"/>
      <c r="S326" s="13"/>
      <c r="T326" s="18"/>
      <c r="U326" s="13"/>
      <c r="V326" s="13"/>
      <c r="W326"/>
      <c r="AC326"/>
    </row>
    <row r="327" spans="7:29" ht="16" x14ac:dyDescent="0.2">
      <c r="G327"/>
      <c r="H327"/>
      <c r="I327"/>
      <c r="K327"/>
      <c r="M327" s="13"/>
      <c r="N327" s="13"/>
      <c r="O327" s="13"/>
      <c r="P327" s="18"/>
      <c r="Q327" s="13"/>
      <c r="R327" s="13"/>
      <c r="S327" s="13"/>
      <c r="T327" s="18"/>
      <c r="U327" s="13"/>
      <c r="V327" s="13"/>
      <c r="W327"/>
      <c r="AC327"/>
    </row>
    <row r="328" spans="7:29" ht="16" x14ac:dyDescent="0.2">
      <c r="G328"/>
      <c r="H328"/>
      <c r="I328"/>
      <c r="K328"/>
      <c r="M328" s="13"/>
      <c r="N328" s="13"/>
      <c r="O328" s="13"/>
      <c r="P328" s="18"/>
      <c r="Q328" s="13"/>
      <c r="R328" s="13"/>
      <c r="S328" s="13"/>
      <c r="T328" s="18"/>
      <c r="U328" s="13"/>
      <c r="V328" s="13"/>
      <c r="W328"/>
      <c r="AC328"/>
    </row>
    <row r="329" spans="7:29" ht="16" x14ac:dyDescent="0.2">
      <c r="G329"/>
      <c r="H329"/>
      <c r="I329"/>
      <c r="K329"/>
      <c r="M329" s="13"/>
      <c r="N329" s="13"/>
      <c r="O329" s="13"/>
      <c r="P329" s="18"/>
      <c r="Q329" s="13"/>
      <c r="R329" s="13"/>
      <c r="S329" s="13"/>
      <c r="T329" s="18"/>
      <c r="U329" s="13"/>
      <c r="V329" s="13"/>
      <c r="W329"/>
      <c r="AC329"/>
    </row>
    <row r="330" spans="7:29" ht="16" x14ac:dyDescent="0.2">
      <c r="G330"/>
      <c r="H330"/>
      <c r="I330"/>
      <c r="K330"/>
      <c r="M330" s="13"/>
      <c r="N330" s="13"/>
      <c r="O330" s="13"/>
      <c r="P330" s="18"/>
      <c r="Q330" s="13"/>
      <c r="R330" s="13"/>
      <c r="S330" s="13"/>
      <c r="T330" s="18"/>
      <c r="U330" s="13"/>
      <c r="V330" s="13"/>
      <c r="W330"/>
      <c r="AC330"/>
    </row>
    <row r="331" spans="7:29" ht="16" x14ac:dyDescent="0.2">
      <c r="G331"/>
      <c r="H331"/>
      <c r="I331"/>
      <c r="K331"/>
      <c r="M331" s="13"/>
      <c r="N331" s="13"/>
      <c r="O331" s="13"/>
      <c r="P331" s="18"/>
      <c r="Q331" s="13"/>
      <c r="R331" s="13"/>
      <c r="S331" s="13"/>
      <c r="T331" s="18"/>
      <c r="U331" s="13"/>
      <c r="V331" s="13"/>
      <c r="W331"/>
      <c r="AC331"/>
    </row>
    <row r="332" spans="7:29" ht="16" x14ac:dyDescent="0.2">
      <c r="G332"/>
      <c r="H332"/>
      <c r="I332"/>
      <c r="K332"/>
      <c r="M332" s="13"/>
      <c r="N332" s="13"/>
      <c r="O332" s="13"/>
      <c r="P332" s="18"/>
      <c r="Q332" s="13"/>
      <c r="R332" s="13"/>
      <c r="S332" s="13"/>
      <c r="T332" s="18"/>
      <c r="U332" s="13"/>
      <c r="V332" s="13"/>
      <c r="W332"/>
      <c r="AC332"/>
    </row>
    <row r="333" spans="7:29" ht="16" x14ac:dyDescent="0.2">
      <c r="G333"/>
      <c r="H333"/>
      <c r="I333"/>
      <c r="K333"/>
      <c r="M333" s="13"/>
      <c r="N333" s="13"/>
      <c r="O333" s="13"/>
      <c r="P333" s="18"/>
      <c r="Q333" s="13"/>
      <c r="R333" s="13"/>
      <c r="S333" s="13"/>
      <c r="T333" s="18"/>
      <c r="U333" s="13"/>
      <c r="V333" s="13"/>
      <c r="W333"/>
      <c r="AC333"/>
    </row>
    <row r="334" spans="7:29" ht="16" x14ac:dyDescent="0.2">
      <c r="G334"/>
      <c r="H334"/>
      <c r="I334"/>
      <c r="K334"/>
      <c r="M334" s="13"/>
      <c r="N334" s="13"/>
      <c r="O334" s="13"/>
      <c r="P334" s="18"/>
      <c r="Q334" s="13"/>
      <c r="R334" s="13"/>
      <c r="S334" s="13"/>
      <c r="T334" s="18"/>
      <c r="U334" s="13"/>
      <c r="V334" s="13"/>
      <c r="W334"/>
      <c r="AC334"/>
    </row>
    <row r="335" spans="7:29" ht="16" x14ac:dyDescent="0.2">
      <c r="G335"/>
      <c r="H335"/>
      <c r="I335"/>
      <c r="K335"/>
      <c r="M335" s="13"/>
      <c r="N335" s="13"/>
      <c r="O335" s="13"/>
      <c r="P335" s="18"/>
      <c r="Q335" s="13"/>
      <c r="R335" s="13"/>
      <c r="S335" s="13"/>
      <c r="T335" s="18"/>
      <c r="U335" s="13"/>
      <c r="V335" s="13"/>
      <c r="W335"/>
      <c r="AC335"/>
    </row>
    <row r="336" spans="7:29" ht="16" x14ac:dyDescent="0.2">
      <c r="G336"/>
      <c r="H336"/>
      <c r="I336"/>
      <c r="K336"/>
      <c r="M336" s="13"/>
      <c r="N336" s="13"/>
      <c r="O336" s="13"/>
      <c r="P336" s="18"/>
      <c r="Q336" s="13"/>
      <c r="R336" s="13"/>
      <c r="S336" s="13"/>
      <c r="T336" s="18"/>
      <c r="U336" s="13"/>
      <c r="V336" s="13"/>
      <c r="W336"/>
      <c r="AC336"/>
    </row>
    <row r="337" spans="7:29" ht="16" x14ac:dyDescent="0.2">
      <c r="G337"/>
      <c r="H337"/>
      <c r="I337"/>
      <c r="K337"/>
      <c r="M337" s="13"/>
      <c r="N337" s="13"/>
      <c r="O337" s="13"/>
      <c r="P337" s="18"/>
      <c r="Q337" s="13"/>
      <c r="R337" s="13"/>
      <c r="S337" s="13"/>
      <c r="T337" s="18"/>
      <c r="U337" s="13"/>
      <c r="V337" s="13"/>
      <c r="W337"/>
      <c r="AC337"/>
    </row>
    <row r="338" spans="7:29" ht="16" x14ac:dyDescent="0.2">
      <c r="G338"/>
      <c r="H338"/>
      <c r="I338"/>
      <c r="K338"/>
      <c r="M338" s="13"/>
      <c r="N338" s="13"/>
      <c r="O338" s="13"/>
      <c r="P338" s="18"/>
      <c r="Q338" s="13"/>
      <c r="R338" s="13"/>
      <c r="S338" s="13"/>
      <c r="T338" s="18"/>
      <c r="U338" s="13"/>
      <c r="V338" s="13"/>
      <c r="W338"/>
      <c r="AC338"/>
    </row>
    <row r="339" spans="7:29" ht="16" x14ac:dyDescent="0.2">
      <c r="G339"/>
      <c r="H339"/>
      <c r="I339"/>
      <c r="K339"/>
      <c r="M339" s="13"/>
      <c r="N339" s="13"/>
      <c r="O339" s="13"/>
      <c r="P339" s="18"/>
      <c r="Q339" s="13"/>
      <c r="R339" s="13"/>
      <c r="S339" s="13"/>
      <c r="T339" s="18"/>
      <c r="U339" s="13"/>
      <c r="V339" s="13"/>
      <c r="W339"/>
      <c r="AC339"/>
    </row>
    <row r="340" spans="7:29" ht="16" x14ac:dyDescent="0.2">
      <c r="G340"/>
      <c r="H340"/>
      <c r="I340"/>
      <c r="K340"/>
      <c r="M340" s="13"/>
      <c r="N340" s="13"/>
      <c r="O340" s="13"/>
      <c r="P340" s="18"/>
      <c r="Q340" s="13"/>
      <c r="R340" s="13"/>
      <c r="S340" s="13"/>
      <c r="T340" s="18"/>
      <c r="U340" s="13"/>
      <c r="V340" s="13"/>
      <c r="W340"/>
      <c r="AC340"/>
    </row>
    <row r="341" spans="7:29" ht="16" x14ac:dyDescent="0.2">
      <c r="G341"/>
      <c r="H341"/>
      <c r="I341"/>
      <c r="K341"/>
      <c r="M341" s="13"/>
      <c r="N341" s="13"/>
      <c r="O341" s="13"/>
      <c r="P341" s="18"/>
      <c r="Q341" s="13"/>
      <c r="R341" s="13"/>
      <c r="S341" s="13"/>
      <c r="T341" s="18"/>
      <c r="U341" s="13"/>
      <c r="V341" s="13"/>
      <c r="W341"/>
      <c r="AC341"/>
    </row>
    <row r="342" spans="7:29" ht="16" x14ac:dyDescent="0.2">
      <c r="G342"/>
      <c r="H342"/>
      <c r="I342"/>
      <c r="K342"/>
      <c r="M342" s="13"/>
      <c r="N342" s="13"/>
      <c r="O342" s="13"/>
      <c r="P342" s="18"/>
      <c r="Q342" s="13"/>
      <c r="R342" s="13"/>
      <c r="S342" s="13"/>
      <c r="T342" s="18"/>
      <c r="U342" s="13"/>
      <c r="V342" s="13"/>
      <c r="W342"/>
      <c r="AC342"/>
    </row>
    <row r="343" spans="7:29" ht="16" x14ac:dyDescent="0.2">
      <c r="G343"/>
      <c r="H343"/>
      <c r="I343"/>
      <c r="K343"/>
      <c r="M343" s="13"/>
      <c r="N343" s="13"/>
      <c r="O343" s="13"/>
      <c r="P343" s="18"/>
      <c r="Q343" s="13"/>
      <c r="R343" s="13"/>
      <c r="S343" s="13"/>
      <c r="T343" s="18"/>
      <c r="U343" s="13"/>
      <c r="V343" s="13"/>
      <c r="W343"/>
      <c r="AC343"/>
    </row>
    <row r="344" spans="7:29" ht="16" x14ac:dyDescent="0.2">
      <c r="G344"/>
      <c r="H344"/>
      <c r="I344"/>
      <c r="K344"/>
      <c r="M344" s="13"/>
      <c r="N344" s="13"/>
      <c r="O344" s="13"/>
      <c r="P344" s="18"/>
      <c r="Q344" s="13"/>
      <c r="R344" s="13"/>
      <c r="S344" s="13"/>
      <c r="T344" s="18"/>
      <c r="U344" s="13"/>
      <c r="V344" s="13"/>
      <c r="W344"/>
      <c r="AC344"/>
    </row>
    <row r="345" spans="7:29" ht="16" x14ac:dyDescent="0.2">
      <c r="G345"/>
      <c r="H345"/>
      <c r="I345"/>
      <c r="K345"/>
      <c r="M345" s="13"/>
      <c r="N345" s="13"/>
      <c r="O345" s="13"/>
      <c r="P345" s="18"/>
      <c r="Q345" s="13"/>
      <c r="R345" s="13"/>
      <c r="S345" s="13"/>
      <c r="T345" s="18"/>
      <c r="U345" s="13"/>
      <c r="V345" s="13"/>
      <c r="W345"/>
      <c r="AC345"/>
    </row>
    <row r="346" spans="7:29" ht="16" x14ac:dyDescent="0.2">
      <c r="G346"/>
      <c r="H346"/>
      <c r="I346"/>
      <c r="K346"/>
      <c r="M346" s="13"/>
      <c r="N346" s="13"/>
      <c r="O346" s="13"/>
      <c r="P346" s="18"/>
      <c r="Q346" s="13"/>
      <c r="R346" s="13"/>
      <c r="S346" s="13"/>
      <c r="T346" s="18"/>
      <c r="U346" s="13"/>
      <c r="V346" s="13"/>
      <c r="W346"/>
      <c r="AC346"/>
    </row>
    <row r="347" spans="7:29" ht="16" x14ac:dyDescent="0.2">
      <c r="G347"/>
      <c r="H347"/>
      <c r="I347"/>
      <c r="K347"/>
      <c r="M347" s="13"/>
      <c r="N347" s="13"/>
      <c r="O347" s="13"/>
      <c r="P347" s="18"/>
      <c r="Q347" s="13"/>
      <c r="R347" s="13"/>
      <c r="S347" s="13"/>
      <c r="T347" s="18"/>
      <c r="U347" s="13"/>
      <c r="V347" s="13"/>
      <c r="W347"/>
      <c r="AC347"/>
    </row>
    <row r="348" spans="7:29" ht="16" x14ac:dyDescent="0.2">
      <c r="G348"/>
      <c r="H348"/>
      <c r="I348"/>
      <c r="K348"/>
      <c r="M348" s="13"/>
      <c r="N348" s="13"/>
      <c r="O348" s="13"/>
      <c r="P348" s="18"/>
      <c r="Q348" s="13"/>
      <c r="R348" s="13"/>
      <c r="S348" s="13"/>
      <c r="T348" s="18"/>
      <c r="U348" s="13"/>
      <c r="V348" s="13"/>
      <c r="W348"/>
      <c r="AC348"/>
    </row>
    <row r="349" spans="7:29" ht="16" x14ac:dyDescent="0.2">
      <c r="G349"/>
      <c r="H349"/>
      <c r="I349"/>
      <c r="K349"/>
      <c r="M349" s="13"/>
      <c r="N349" s="13"/>
      <c r="O349" s="13"/>
      <c r="P349" s="18"/>
      <c r="Q349" s="13"/>
      <c r="R349" s="13"/>
      <c r="S349" s="13"/>
      <c r="T349" s="18"/>
      <c r="U349" s="13"/>
      <c r="V349" s="13"/>
      <c r="W349"/>
      <c r="AC349"/>
    </row>
    <row r="350" spans="7:29" ht="16" x14ac:dyDescent="0.2">
      <c r="G350"/>
      <c r="H350"/>
      <c r="I350"/>
      <c r="K350"/>
      <c r="M350" s="13"/>
      <c r="N350" s="13"/>
      <c r="O350" s="13"/>
      <c r="P350" s="18"/>
      <c r="Q350" s="13"/>
      <c r="R350" s="13"/>
      <c r="S350" s="13"/>
      <c r="T350" s="18"/>
      <c r="U350" s="13"/>
      <c r="V350" s="13"/>
      <c r="W350"/>
      <c r="AC350"/>
    </row>
    <row r="351" spans="7:29" ht="16" x14ac:dyDescent="0.2">
      <c r="G351"/>
      <c r="H351"/>
      <c r="I351"/>
      <c r="K351"/>
      <c r="M351" s="13"/>
      <c r="N351" s="13"/>
      <c r="O351" s="13"/>
      <c r="P351" s="18"/>
      <c r="Q351" s="13"/>
      <c r="R351" s="13"/>
      <c r="S351" s="13"/>
      <c r="T351" s="18"/>
      <c r="U351" s="13"/>
      <c r="V351" s="13"/>
      <c r="W351"/>
      <c r="AC351"/>
    </row>
    <row r="352" spans="7:29" ht="16" x14ac:dyDescent="0.2">
      <c r="G352"/>
      <c r="H352"/>
      <c r="I352"/>
      <c r="K352"/>
      <c r="M352" s="13"/>
      <c r="N352" s="13"/>
      <c r="O352" s="13"/>
      <c r="P352" s="18"/>
      <c r="Q352" s="13"/>
      <c r="R352" s="13"/>
      <c r="S352" s="13"/>
      <c r="T352" s="18"/>
      <c r="U352" s="13"/>
      <c r="V352" s="13"/>
      <c r="W352"/>
      <c r="AC352"/>
    </row>
    <row r="353" spans="7:29" ht="16" x14ac:dyDescent="0.2">
      <c r="G353"/>
      <c r="H353"/>
      <c r="I353"/>
      <c r="K353"/>
      <c r="M353" s="13"/>
      <c r="N353" s="13"/>
      <c r="O353" s="13"/>
      <c r="P353" s="18"/>
      <c r="Q353" s="13"/>
      <c r="R353" s="13"/>
      <c r="S353" s="13"/>
      <c r="T353" s="18"/>
      <c r="U353" s="13"/>
      <c r="V353" s="13"/>
      <c r="W353"/>
      <c r="AC353"/>
    </row>
    <row r="354" spans="7:29" ht="16" x14ac:dyDescent="0.2">
      <c r="G354"/>
      <c r="H354"/>
      <c r="I354"/>
      <c r="K354"/>
      <c r="M354" s="13"/>
      <c r="N354" s="13"/>
      <c r="O354" s="13"/>
      <c r="P354" s="18"/>
      <c r="Q354" s="13"/>
      <c r="R354" s="13"/>
      <c r="S354" s="13"/>
      <c r="T354" s="18"/>
      <c r="U354" s="13"/>
      <c r="V354" s="13"/>
      <c r="W354"/>
      <c r="AC354"/>
    </row>
    <row r="355" spans="7:29" ht="16" x14ac:dyDescent="0.2">
      <c r="G355"/>
      <c r="H355"/>
      <c r="I355"/>
      <c r="K355"/>
      <c r="M355" s="13"/>
      <c r="N355" s="13"/>
      <c r="O355" s="13"/>
      <c r="P355" s="18"/>
      <c r="Q355" s="13"/>
      <c r="R355" s="13"/>
      <c r="S355" s="13"/>
      <c r="T355" s="18"/>
      <c r="U355" s="13"/>
      <c r="V355" s="13"/>
      <c r="W355"/>
      <c r="AC355"/>
    </row>
    <row r="356" spans="7:29" ht="16" x14ac:dyDescent="0.2">
      <c r="G356"/>
      <c r="H356"/>
      <c r="I356"/>
      <c r="K356"/>
      <c r="M356" s="13"/>
      <c r="N356" s="13"/>
      <c r="O356" s="13"/>
      <c r="P356" s="18"/>
      <c r="Q356" s="13"/>
      <c r="R356" s="13"/>
      <c r="S356" s="13"/>
      <c r="T356" s="18"/>
      <c r="U356" s="13"/>
      <c r="V356" s="13"/>
      <c r="W356"/>
      <c r="AC356"/>
    </row>
    <row r="357" spans="7:29" ht="16" x14ac:dyDescent="0.2">
      <c r="G357"/>
      <c r="H357"/>
      <c r="I357"/>
      <c r="K357"/>
      <c r="M357" s="13"/>
      <c r="N357" s="13"/>
      <c r="O357" s="13"/>
      <c r="P357" s="18"/>
      <c r="Q357" s="13"/>
      <c r="R357" s="13"/>
      <c r="S357" s="13"/>
      <c r="T357" s="18"/>
      <c r="U357" s="13"/>
      <c r="V357" s="13"/>
      <c r="W357"/>
      <c r="AC357"/>
    </row>
    <row r="358" spans="7:29" ht="16" x14ac:dyDescent="0.2">
      <c r="G358"/>
      <c r="H358"/>
      <c r="I358"/>
      <c r="K358"/>
      <c r="M358" s="13"/>
      <c r="N358" s="13"/>
      <c r="O358" s="13"/>
      <c r="P358" s="18"/>
      <c r="Q358" s="13"/>
      <c r="R358" s="13"/>
      <c r="S358" s="13"/>
      <c r="T358" s="18"/>
      <c r="U358" s="13"/>
      <c r="V358" s="13"/>
      <c r="W358"/>
      <c r="AC358"/>
    </row>
    <row r="359" spans="7:29" ht="16" x14ac:dyDescent="0.2">
      <c r="G359"/>
      <c r="H359"/>
      <c r="I359"/>
      <c r="K359"/>
      <c r="M359" s="13"/>
      <c r="N359" s="13"/>
      <c r="O359" s="13"/>
      <c r="P359" s="18"/>
      <c r="Q359" s="13"/>
      <c r="R359" s="13"/>
      <c r="S359" s="13"/>
      <c r="T359" s="18"/>
      <c r="U359" s="13"/>
      <c r="V359" s="13"/>
      <c r="W359"/>
      <c r="AC359"/>
    </row>
    <row r="360" spans="7:29" ht="16" x14ac:dyDescent="0.2">
      <c r="G360"/>
      <c r="H360"/>
      <c r="I360"/>
      <c r="K360"/>
      <c r="M360" s="13"/>
      <c r="N360" s="13"/>
      <c r="O360" s="13"/>
      <c r="P360" s="18"/>
      <c r="Q360" s="13"/>
      <c r="R360" s="13"/>
      <c r="S360" s="13"/>
      <c r="T360" s="18"/>
      <c r="U360" s="13"/>
      <c r="V360" s="13"/>
      <c r="W360"/>
      <c r="AC360"/>
    </row>
    <row r="361" spans="7:29" ht="16" x14ac:dyDescent="0.2">
      <c r="G361"/>
      <c r="H361"/>
      <c r="I361"/>
      <c r="K361"/>
      <c r="M361" s="13"/>
      <c r="N361" s="13"/>
      <c r="O361" s="13"/>
      <c r="P361" s="18"/>
      <c r="Q361" s="13"/>
      <c r="R361" s="13"/>
      <c r="S361" s="13"/>
      <c r="T361" s="18"/>
      <c r="U361" s="13"/>
      <c r="V361" s="13"/>
      <c r="W361"/>
      <c r="AC361"/>
    </row>
    <row r="362" spans="7:29" ht="16" x14ac:dyDescent="0.2">
      <c r="G362"/>
      <c r="H362"/>
      <c r="I362"/>
      <c r="K362"/>
      <c r="M362" s="13"/>
      <c r="N362" s="13"/>
      <c r="O362" s="13"/>
      <c r="P362" s="18"/>
      <c r="Q362" s="13"/>
      <c r="R362" s="13"/>
      <c r="S362" s="13"/>
      <c r="T362" s="18"/>
      <c r="U362" s="13"/>
      <c r="V362" s="13"/>
      <c r="W362"/>
      <c r="AC362"/>
    </row>
    <row r="363" spans="7:29" ht="16" x14ac:dyDescent="0.2">
      <c r="G363"/>
      <c r="H363"/>
      <c r="I363"/>
      <c r="K363"/>
      <c r="M363" s="13"/>
      <c r="N363" s="13"/>
      <c r="O363" s="13"/>
      <c r="P363" s="18"/>
      <c r="Q363" s="13"/>
      <c r="R363" s="13"/>
      <c r="S363" s="13"/>
      <c r="T363" s="18"/>
      <c r="U363" s="13"/>
      <c r="V363" s="13"/>
      <c r="W363"/>
      <c r="AC363"/>
    </row>
    <row r="364" spans="7:29" ht="16" x14ac:dyDescent="0.2">
      <c r="G364"/>
      <c r="H364"/>
      <c r="I364"/>
      <c r="K364"/>
      <c r="M364" s="13"/>
      <c r="N364" s="13"/>
      <c r="O364" s="13"/>
      <c r="P364" s="18"/>
      <c r="Q364" s="13"/>
      <c r="R364" s="13"/>
      <c r="S364" s="13"/>
      <c r="T364" s="18"/>
      <c r="U364" s="13"/>
      <c r="V364" s="13"/>
      <c r="W364"/>
      <c r="AC364"/>
    </row>
    <row r="365" spans="7:29" ht="16" x14ac:dyDescent="0.2">
      <c r="G365"/>
      <c r="H365"/>
      <c r="I365"/>
      <c r="K365"/>
      <c r="M365" s="13"/>
      <c r="N365" s="13"/>
      <c r="O365" s="13"/>
      <c r="P365" s="18"/>
      <c r="Q365" s="13"/>
      <c r="R365" s="13"/>
      <c r="S365" s="13"/>
      <c r="T365" s="18"/>
      <c r="U365" s="13"/>
      <c r="V365" s="13"/>
      <c r="W365"/>
      <c r="AC365"/>
    </row>
    <row r="366" spans="7:29" ht="16" x14ac:dyDescent="0.2">
      <c r="G366"/>
      <c r="H366"/>
      <c r="I366"/>
      <c r="K366"/>
      <c r="M366" s="13"/>
      <c r="N366" s="13"/>
      <c r="O366" s="13"/>
      <c r="P366" s="18"/>
      <c r="Q366" s="13"/>
      <c r="R366" s="13"/>
      <c r="S366" s="13"/>
      <c r="T366" s="18"/>
      <c r="U366" s="13"/>
      <c r="V366" s="13"/>
      <c r="W366"/>
      <c r="AC366"/>
    </row>
  </sheetData>
  <sortState xmlns:xlrd2="http://schemas.microsoft.com/office/spreadsheetml/2017/richdata2" ref="A3:AM101">
    <sortCondition ref="A3:A101"/>
  </sortState>
  <mergeCells count="5">
    <mergeCell ref="C1:J1"/>
    <mergeCell ref="K1:L1"/>
    <mergeCell ref="M1:V1"/>
    <mergeCell ref="W1:AB1"/>
    <mergeCell ref="AC1:AG1"/>
  </mergeCells>
  <hyperlinks>
    <hyperlink ref="AI36" r:id="rId1" xr:uid="{4A089B29-0E84-DA43-B057-48C63B426C25}"/>
    <hyperlink ref="AI101" r:id="rId2" xr:uid="{F45BA1FF-3772-7E42-BD67-B99A754DC964}"/>
    <hyperlink ref="AI100" r:id="rId3" xr:uid="{40A056FE-9EA0-1046-800D-ED1325B03AA1}"/>
    <hyperlink ref="AI99" r:id="rId4" xr:uid="{FCAF1739-A620-8F41-900D-BB05358A1DA9}"/>
    <hyperlink ref="AI98" r:id="rId5" xr:uid="{C49D8AF1-6DDD-2147-B37B-311CDC4DFF57}"/>
    <hyperlink ref="AI96" r:id="rId6" xr:uid="{D8003F25-5687-2742-BDAF-36E00F2FF966}"/>
    <hyperlink ref="AI5" r:id="rId7" xr:uid="{3082E4B8-A11A-8E4D-8BBA-0361A5F6F940}"/>
    <hyperlink ref="AI95" r:id="rId8" xr:uid="{401A770A-3A69-454A-907F-6F7809746FE3}"/>
    <hyperlink ref="AI92" r:id="rId9" xr:uid="{8FD1AC96-3DF6-B34D-B168-EA77B0D1DB68}"/>
    <hyperlink ref="AI91" r:id="rId10" xr:uid="{19DF72F3-9DDC-1F43-B5E4-74FFEA4CD838}"/>
    <hyperlink ref="AI90" r:id="rId11" xr:uid="{0AF138E4-3E4C-104D-8B4F-A51DD8B35FE7}"/>
    <hyperlink ref="AI22" r:id="rId12" xr:uid="{4B3E5A00-3DFD-474A-AFDE-0237A1212B07}"/>
    <hyperlink ref="AI87" r:id="rId13" xr:uid="{FC70A48B-7652-3E42-AD09-E29BA6786F63}"/>
    <hyperlink ref="AI86" r:id="rId14" xr:uid="{1BB2D6B5-AC8B-214A-BEDA-D0BB358383D6}"/>
    <hyperlink ref="AI85" r:id="rId15" xr:uid="{32361E6B-3340-234E-BBBC-7B0BD72B4DAA}"/>
    <hyperlink ref="AI21" r:id="rId16" xr:uid="{448E8E91-3D16-A643-9E49-319A47811B20}"/>
    <hyperlink ref="AI83" r:id="rId17" xr:uid="{3B80F53D-369F-0349-901E-9B70047C9BA6}"/>
    <hyperlink ref="AI82" r:id="rId18" xr:uid="{650C7F89-D567-3648-AEBC-B07DFE4CD367}"/>
    <hyperlink ref="AI81" r:id="rId19" xr:uid="{9D3E447A-FADD-F44E-8A1F-EE1E248548EC}"/>
    <hyperlink ref="AI20" r:id="rId20" xr:uid="{83382AEA-2C17-1C45-91ED-D4BEDC11F0F8}"/>
    <hyperlink ref="AI19" r:id="rId21" xr:uid="{1912417E-1025-FE4B-89B5-1375EA04CE86}"/>
    <hyperlink ref="AI79" r:id="rId22" xr:uid="{04A0BE5F-22D1-5A4D-89A0-2C382E081C27}"/>
    <hyperlink ref="AI76" r:id="rId23" xr:uid="{485B9B4C-BF74-4243-AADA-AC943E3F98F6}"/>
    <hyperlink ref="AI75" r:id="rId24" xr:uid="{214B6063-DDE8-AB40-9A99-A1730D33F906}"/>
    <hyperlink ref="AI15" r:id="rId25" xr:uid="{52B18017-BAE5-044D-8B84-A3F99EE5D22F}"/>
    <hyperlink ref="AI73" r:id="rId26" xr:uid="{A7B9DF83-58C9-584A-BDDF-B3A671EF791C}"/>
    <hyperlink ref="AI72" r:id="rId27" xr:uid="{21CE7F5F-BC9E-DE42-8C56-D008CCDE4241}"/>
    <hyperlink ref="AI71" r:id="rId28" xr:uid="{6CF8AAEE-CEB8-0E49-B86F-BCBEB20B0FCF}"/>
    <hyperlink ref="AI70" r:id="rId29" xr:uid="{7315245E-E353-DF40-B6C6-13162E1E00EB}"/>
    <hyperlink ref="AI69" r:id="rId30" xr:uid="{A6B99512-875F-2449-A558-6FF7C29C25AE}"/>
    <hyperlink ref="AI68" r:id="rId31" xr:uid="{17897411-B0B6-0949-B308-CB5B3ED5409F}"/>
    <hyperlink ref="AI66" r:id="rId32" xr:uid="{0FD2A95A-1E85-DA4E-B6D0-25DD7EE5962D}"/>
    <hyperlink ref="AI65" r:id="rId33" xr:uid="{D3DB75E2-9C7D-E84E-B6F0-E314DDCE7EC0}"/>
    <hyperlink ref="AI12" r:id="rId34" xr:uid="{F8ACCF29-EA30-0D41-AB6B-442F435A78F9}"/>
    <hyperlink ref="AI10" r:id="rId35" xr:uid="{EB77116F-1C26-1B47-81A3-B01EEE0FCBDF}"/>
    <hyperlink ref="AI6" r:id="rId36" xr:uid="{E68E4B7D-D721-0047-ACA2-F77381BB7F5B}"/>
    <hyperlink ref="AI64" r:id="rId37" location="Sec18" xr:uid="{2CEA9DA6-FC2C-DA4B-A093-CA9E993EB61D}"/>
    <hyperlink ref="AI4" r:id="rId38" xr:uid="{EA8EE5A0-84F8-0540-BAC8-F87819BFED63}"/>
    <hyperlink ref="AI3" r:id="rId39" xr:uid="{FCF92BF0-393B-6647-B2D2-D9C6F1245DED}"/>
    <hyperlink ref="AI59" r:id="rId40" xr:uid="{E76339BF-2534-C247-A004-40201B4F2D80}"/>
    <hyperlink ref="AI56" r:id="rId41" xr:uid="{12E9223E-0A43-BD4F-9CEF-009130E1E0F6}"/>
    <hyperlink ref="AI55" r:id="rId42" xr:uid="{2FF66F92-3B95-F242-819E-17AD2CC3992C}"/>
    <hyperlink ref="AI51" r:id="rId43" xr:uid="{9217BC49-CFA1-0D4A-8DC6-CEED6A8FB116}"/>
    <hyperlink ref="AI46" r:id="rId44" xr:uid="{06B18623-B125-6A46-8A1F-6EC4425B0CCA}"/>
    <hyperlink ref="AI45" r:id="rId45" xr:uid="{525BB33A-BE9D-BA4C-880F-F467DB1C03DD}"/>
    <hyperlink ref="AI43" r:id="rId46" xr:uid="{0E5E32D2-918E-2F4C-97C8-A56D5EB6A00F}"/>
    <hyperlink ref="AI42" r:id="rId47" xr:uid="{73BCF0B2-A04A-7B47-AC3B-4185412BE3EF}"/>
    <hyperlink ref="AI41" r:id="rId48" xr:uid="{E48AA68E-34F4-7548-A4D9-F7F2EF244BFF}"/>
    <hyperlink ref="AI39" r:id="rId49" display="https://www.researchgate.net/profile/Rupert-Palme/publication/235952868_Physiological_validation_of_a_non-invasive_method_for_measuring_adrenocortical_activity_in_goats/links/00463514b168495c01000000/Physiological-validation-of-a-non-invasive-method-for-measuring-adrenocortical-activity-in-goats.pdf" xr:uid="{64D9D081-CDCA-C448-826B-2CB84D1CBCFB}"/>
    <hyperlink ref="AI37" r:id="rId50" location="Tab3" xr:uid="{C14010B5-62F9-1043-97B7-8288CCD5008B}"/>
    <hyperlink ref="AI35" r:id="rId51" xr:uid="{A95725FA-1F6B-364E-AF89-F63D95B92AF8}"/>
    <hyperlink ref="AI34" r:id="rId52" xr:uid="{748C1979-D487-4D47-B8FA-1604A15F2A28}"/>
    <hyperlink ref="AI33" r:id="rId53" xr:uid="{5C3565F7-FDF1-574F-BADA-BA929E5F8E49}"/>
    <hyperlink ref="AI32" r:id="rId54" xr:uid="{BBBD3796-B478-7849-B49D-FD8B30ECAA81}"/>
    <hyperlink ref="AI77" r:id="rId55" xr:uid="{59BD98FD-AAC4-9C4F-8201-04C81B45E2AC}"/>
    <hyperlink ref="AI14" r:id="rId56" xr:uid="{8772FE53-BE6F-A445-B7CE-EEC557AE6128}"/>
    <hyperlink ref="AI97" r:id="rId57" xr:uid="{46C4F512-E9EF-5D4C-BE51-782AB0AD8F69}"/>
    <hyperlink ref="AI31" r:id="rId58" xr:uid="{0DA54FE5-03A5-1740-A830-48F486C881E2}"/>
    <hyperlink ref="AI60" r:id="rId59" xr:uid="{57EA459C-5228-E04F-9D72-99260F7ACE5F}"/>
    <hyperlink ref="AI8" r:id="rId60" xr:uid="{87090542-1166-204B-BB5F-2D247BB74051}"/>
    <hyperlink ref="AI52" r:id="rId61" xr:uid="{19DAFEE0-7C1C-854B-82AE-71E4A6536CEC}"/>
    <hyperlink ref="AI94" r:id="rId62" xr:uid="{BD4CBFFC-ACFC-B44F-8891-71423F1F8844}"/>
    <hyperlink ref="AI44" r:id="rId63" display="https://www.researchgate.net/profile/Regina-Paz/publication/269544331_Evaluation_of_Glucocorticoid_Faecal_Monitoring_as_a_Non-Invasive_Assessment_of_Stress_in_Captive_Crab-Eating_Fox_Cerdocyoun_thous_After_ACTH_Stimulation/links/54c6276d0cf256ed5a9ca591/Evaluation-of-Glucocorticoid-Faecal-Monitoring-as-a-Non-Invasive-Assessment-of-Stress-in-Captive-Crab-Eating-Fox-Cerdocyoun-thous-After-ACTH-Stimulation.pdf?_sg%5B0%5D=started_experiment_milestone&amp;origin=journalDetail" xr:uid="{9DBA84F2-346F-3D4F-9F76-F8902822A040}"/>
    <hyperlink ref="AI38" r:id="rId64" xr:uid="{2D639919-55C3-9D4C-86C3-C482406D2082}"/>
    <hyperlink ref="AI80" r:id="rId65" xr:uid="{F2344884-D538-134F-A387-C680298CCBC8}"/>
    <hyperlink ref="AI57" r:id="rId66" location="sec1-8title" xr:uid="{9B2C8400-5CA6-C84D-BC86-2DD13168E0F6}"/>
    <hyperlink ref="AI58" r:id="rId67" xr:uid="{EFE40772-C5F9-9D41-AFB7-043B15368BBF}"/>
    <hyperlink ref="AI93" r:id="rId68" xr:uid="{26AF5C11-15B8-534B-AE01-8EFC5B0C19E6}"/>
    <hyperlink ref="AI78" r:id="rId69" xr:uid="{2C4FBBBA-F3D1-3943-AEE5-8DCC9C65B0EE}"/>
    <hyperlink ref="AI88" r:id="rId70" xr:uid="{0D197BA4-0945-DA42-A597-AEA75EB48EDC}"/>
    <hyperlink ref="AI61" r:id="rId71" xr:uid="{7AB17B6B-A11E-5347-BBA8-6024FA0DFA84}"/>
    <hyperlink ref="AI62" r:id="rId72" xr:uid="{81B1516A-4B4A-E24E-A30B-82777563223F}"/>
    <hyperlink ref="AI27" r:id="rId73" xr:uid="{68AF6268-0BEF-F749-BAF7-2C776592BD48}"/>
    <hyperlink ref="AI27:AI29" r:id="rId74" display="https://journals.co.za/doi/abs/10.3957/056.051.0090" xr:uid="{1AC8F1CB-4671-464E-976B-4092B3F54E92}"/>
    <hyperlink ref="AI25" r:id="rId75" xr:uid="{2194DF3C-20C0-7940-A8F5-06CD1C4DBC4B}"/>
    <hyperlink ref="AI26" r:id="rId76" xr:uid="{EDAD8442-CA5D-7446-BDBD-E78DE4CA9489}"/>
    <hyperlink ref="AI30" r:id="rId77" location="Tab3" xr:uid="{4ED332F0-6A81-3A4E-A726-9F029CC5B7D3}"/>
    <hyperlink ref="AL26" r:id="rId78" xr:uid="{8A568346-4116-B04F-83CE-3866FBE465A3}"/>
  </hyperlinks>
  <pageMargins left="0.7" right="0.7" top="0.75" bottom="0.75" header="0.3" footer="0.3"/>
  <pageSetup orientation="portrait" horizontalDpi="0" verticalDpi="0"/>
  <drawing r:id="rId7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196FA-896A-4F42-9F10-EAF7FC0E3B87}">
  <dimension ref="A1:B94"/>
  <sheetViews>
    <sheetView workbookViewId="0">
      <selection activeCell="A48" sqref="A1:B48"/>
    </sheetView>
  </sheetViews>
  <sheetFormatPr baseColWidth="10" defaultColWidth="8.83203125" defaultRowHeight="16" x14ac:dyDescent="0.2"/>
  <cols>
    <col min="1" max="1" width="20.5" customWidth="1"/>
  </cols>
  <sheetData>
    <row r="1" spans="1:2" x14ac:dyDescent="0.2">
      <c r="A1" s="69">
        <v>444900</v>
      </c>
      <c r="B1" s="69">
        <v>24.02</v>
      </c>
    </row>
    <row r="2" spans="1:2" x14ac:dyDescent="0.2">
      <c r="A2" s="69">
        <v>200000</v>
      </c>
      <c r="B2" s="69">
        <v>26.03</v>
      </c>
    </row>
    <row r="3" spans="1:2" x14ac:dyDescent="0.2">
      <c r="A3" s="69">
        <v>215000</v>
      </c>
      <c r="B3" s="69">
        <v>27</v>
      </c>
    </row>
    <row r="4" spans="1:2" x14ac:dyDescent="0.2">
      <c r="A4" s="69">
        <v>20200</v>
      </c>
      <c r="B4" s="69">
        <v>35.9</v>
      </c>
    </row>
    <row r="5" spans="1:2" x14ac:dyDescent="0.2">
      <c r="A5" s="69">
        <v>700000</v>
      </c>
      <c r="B5" s="69">
        <v>40.19</v>
      </c>
    </row>
    <row r="6" spans="1:2" x14ac:dyDescent="0.2">
      <c r="A6" s="69">
        <v>215000</v>
      </c>
      <c r="B6" s="69">
        <v>40.700000000000003</v>
      </c>
    </row>
    <row r="7" spans="1:2" x14ac:dyDescent="0.2">
      <c r="A7" s="69">
        <v>101250</v>
      </c>
      <c r="B7" s="69">
        <v>41.3</v>
      </c>
    </row>
    <row r="8" spans="1:2" x14ac:dyDescent="0.2">
      <c r="A8" s="69">
        <v>215000</v>
      </c>
      <c r="B8" s="69">
        <v>43.5</v>
      </c>
    </row>
    <row r="9" spans="1:2" x14ac:dyDescent="0.2">
      <c r="A9" s="69">
        <v>4175</v>
      </c>
      <c r="B9" s="69">
        <v>54.6</v>
      </c>
    </row>
    <row r="10" spans="1:2" x14ac:dyDescent="0.2">
      <c r="A10" s="69">
        <v>101250</v>
      </c>
      <c r="B10" s="69">
        <v>60.66</v>
      </c>
    </row>
    <row r="11" spans="1:2" x14ac:dyDescent="0.2">
      <c r="A11" s="69">
        <v>475000</v>
      </c>
      <c r="B11" s="69">
        <v>64.635000000000005</v>
      </c>
    </row>
    <row r="12" spans="1:2" x14ac:dyDescent="0.2">
      <c r="A12" s="69">
        <v>4175</v>
      </c>
      <c r="B12" s="69">
        <v>66.599999999999994</v>
      </c>
    </row>
    <row r="13" spans="1:2" x14ac:dyDescent="0.2">
      <c r="A13" s="69">
        <v>87000</v>
      </c>
      <c r="B13" s="69">
        <v>67.5</v>
      </c>
    </row>
    <row r="14" spans="1:2" x14ac:dyDescent="0.2">
      <c r="A14" s="69">
        <v>6500</v>
      </c>
      <c r="B14" s="69">
        <v>84.5</v>
      </c>
    </row>
    <row r="15" spans="1:2" x14ac:dyDescent="0.2">
      <c r="A15" s="69">
        <v>800000</v>
      </c>
      <c r="B15" s="69">
        <v>88.4833</v>
      </c>
    </row>
    <row r="16" spans="1:2" x14ac:dyDescent="0.2">
      <c r="A16" s="69">
        <v>750000</v>
      </c>
      <c r="B16" s="69">
        <v>96.4</v>
      </c>
    </row>
    <row r="17" spans="1:2" x14ac:dyDescent="0.2">
      <c r="A17" s="69">
        <v>119700</v>
      </c>
      <c r="B17" s="69">
        <v>101.44499999999999</v>
      </c>
    </row>
    <row r="18" spans="1:2" x14ac:dyDescent="0.2">
      <c r="A18" s="69">
        <v>119700</v>
      </c>
      <c r="B18" s="69">
        <v>101.455</v>
      </c>
    </row>
    <row r="19" spans="1:2" x14ac:dyDescent="0.2">
      <c r="A19" s="69">
        <v>64.8</v>
      </c>
      <c r="B19" s="69">
        <v>120</v>
      </c>
    </row>
    <row r="20" spans="1:2" x14ac:dyDescent="0.2">
      <c r="A20" s="69">
        <v>61000</v>
      </c>
      <c r="B20" s="69">
        <v>124</v>
      </c>
    </row>
    <row r="21" spans="1:2" x14ac:dyDescent="0.2">
      <c r="A21" s="69">
        <v>3178000</v>
      </c>
      <c r="B21" s="69">
        <v>126.7</v>
      </c>
    </row>
    <row r="22" spans="1:2" x14ac:dyDescent="0.2">
      <c r="A22" s="69">
        <v>102500</v>
      </c>
      <c r="B22" s="69">
        <v>130.333</v>
      </c>
    </row>
    <row r="23" spans="1:2" x14ac:dyDescent="0.2">
      <c r="A23" s="69">
        <v>215000</v>
      </c>
      <c r="B23" s="69">
        <v>147.15</v>
      </c>
    </row>
    <row r="24" spans="1:2" x14ac:dyDescent="0.2">
      <c r="A24" s="69">
        <v>2643</v>
      </c>
      <c r="B24" s="69">
        <v>165</v>
      </c>
    </row>
    <row r="25" spans="1:2" x14ac:dyDescent="0.2">
      <c r="A25" s="69">
        <v>17000</v>
      </c>
      <c r="B25" s="69">
        <v>181.5</v>
      </c>
    </row>
    <row r="26" spans="1:2" x14ac:dyDescent="0.2">
      <c r="A26" s="69">
        <v>64.8</v>
      </c>
      <c r="B26" s="69">
        <v>200</v>
      </c>
    </row>
    <row r="27" spans="1:2" x14ac:dyDescent="0.2">
      <c r="A27" s="69">
        <v>105</v>
      </c>
      <c r="B27" s="69">
        <v>204.55</v>
      </c>
    </row>
    <row r="28" spans="1:2" x14ac:dyDescent="0.2">
      <c r="A28" s="69">
        <v>26500</v>
      </c>
      <c r="B28" s="69">
        <v>267.75</v>
      </c>
    </row>
    <row r="29" spans="1:2" x14ac:dyDescent="0.2">
      <c r="A29" s="69">
        <v>61000</v>
      </c>
      <c r="B29" s="69">
        <v>316</v>
      </c>
    </row>
    <row r="30" spans="1:2" x14ac:dyDescent="0.2">
      <c r="A30" s="69">
        <v>3940034</v>
      </c>
      <c r="B30" s="69">
        <v>332</v>
      </c>
    </row>
    <row r="31" spans="1:2" x14ac:dyDescent="0.2">
      <c r="A31" s="69">
        <v>164500</v>
      </c>
      <c r="B31" s="69">
        <v>435</v>
      </c>
    </row>
    <row r="32" spans="1:2" x14ac:dyDescent="0.2">
      <c r="A32" s="69">
        <v>139842</v>
      </c>
      <c r="B32" s="69">
        <v>450</v>
      </c>
    </row>
    <row r="33" spans="1:2" x14ac:dyDescent="0.2">
      <c r="A33" s="69">
        <v>4132</v>
      </c>
      <c r="B33" s="69">
        <v>475</v>
      </c>
    </row>
    <row r="34" spans="1:2" x14ac:dyDescent="0.2">
      <c r="A34" s="69">
        <v>434000</v>
      </c>
      <c r="B34">
        <v>503.9</v>
      </c>
    </row>
    <row r="35" spans="1:2" x14ac:dyDescent="0.2">
      <c r="A35" s="69">
        <v>164500</v>
      </c>
      <c r="B35" s="69">
        <v>530</v>
      </c>
    </row>
    <row r="36" spans="1:2" x14ac:dyDescent="0.2">
      <c r="A36" s="69">
        <v>139842</v>
      </c>
      <c r="B36" s="69">
        <v>620</v>
      </c>
    </row>
    <row r="37" spans="1:2" x14ac:dyDescent="0.2">
      <c r="A37" s="69">
        <v>164500</v>
      </c>
      <c r="B37" s="69">
        <v>670</v>
      </c>
    </row>
    <row r="38" spans="1:2" x14ac:dyDescent="0.2">
      <c r="A38" s="69">
        <v>5200</v>
      </c>
      <c r="B38" s="69">
        <v>695</v>
      </c>
    </row>
    <row r="39" spans="1:2" x14ac:dyDescent="0.2">
      <c r="A39" s="69">
        <v>5000</v>
      </c>
      <c r="B39" s="69">
        <v>917.5</v>
      </c>
    </row>
    <row r="40" spans="1:2" x14ac:dyDescent="0.2">
      <c r="A40" s="69">
        <v>2643</v>
      </c>
      <c r="B40" s="69">
        <v>935</v>
      </c>
    </row>
    <row r="41" spans="1:2" x14ac:dyDescent="0.2">
      <c r="A41" s="69">
        <v>164500</v>
      </c>
      <c r="B41" s="69">
        <v>1050</v>
      </c>
    </row>
    <row r="42" spans="1:2" x14ac:dyDescent="0.2">
      <c r="A42" s="69">
        <v>45.2</v>
      </c>
      <c r="B42" s="69">
        <v>1077.33</v>
      </c>
    </row>
    <row r="43" spans="1:2" x14ac:dyDescent="0.2">
      <c r="A43" s="69">
        <v>1332</v>
      </c>
      <c r="B43" s="69">
        <v>1088.4000000000001</v>
      </c>
    </row>
    <row r="44" spans="1:2" x14ac:dyDescent="0.2">
      <c r="A44" s="69">
        <v>5735</v>
      </c>
      <c r="B44" s="69">
        <v>1120</v>
      </c>
    </row>
    <row r="45" spans="1:2" x14ac:dyDescent="0.2">
      <c r="A45" s="69">
        <v>5000</v>
      </c>
      <c r="B45" s="69">
        <v>1270</v>
      </c>
    </row>
    <row r="46" spans="1:2" x14ac:dyDescent="0.2">
      <c r="A46" s="69">
        <v>10650</v>
      </c>
      <c r="B46" s="69">
        <v>1711.15</v>
      </c>
    </row>
    <row r="47" spans="1:2" x14ac:dyDescent="0.2">
      <c r="A47" s="69">
        <v>5735</v>
      </c>
      <c r="B47" s="69">
        <v>3125</v>
      </c>
    </row>
    <row r="48" spans="1:2" x14ac:dyDescent="0.2">
      <c r="A48" s="69">
        <v>45.2</v>
      </c>
      <c r="B48" s="69">
        <v>3524.28</v>
      </c>
    </row>
    <row r="49" spans="1:2" x14ac:dyDescent="0.2">
      <c r="A49" s="69">
        <v>7000</v>
      </c>
      <c r="B49" s="69" t="s">
        <v>30</v>
      </c>
    </row>
    <row r="50" spans="1:2" x14ac:dyDescent="0.2">
      <c r="A50" s="69">
        <v>139842</v>
      </c>
      <c r="B50" s="69"/>
    </row>
    <row r="51" spans="1:2" x14ac:dyDescent="0.2">
      <c r="A51" s="69">
        <v>139842</v>
      </c>
      <c r="B51" s="69"/>
    </row>
    <row r="52" spans="1:2" x14ac:dyDescent="0.2">
      <c r="A52" s="69">
        <v>5735</v>
      </c>
      <c r="B52" s="69"/>
    </row>
    <row r="53" spans="1:2" x14ac:dyDescent="0.2">
      <c r="A53" s="69">
        <v>5735</v>
      </c>
      <c r="B53" s="69"/>
    </row>
    <row r="54" spans="1:2" x14ac:dyDescent="0.2">
      <c r="A54" s="69">
        <v>11950</v>
      </c>
      <c r="B54" s="69"/>
    </row>
    <row r="55" spans="1:2" x14ac:dyDescent="0.2">
      <c r="A55" s="69">
        <v>64.8</v>
      </c>
      <c r="B55" s="69"/>
    </row>
    <row r="56" spans="1:2" x14ac:dyDescent="0.2">
      <c r="A56" s="69">
        <v>64.8</v>
      </c>
      <c r="B56" s="69"/>
    </row>
    <row r="57" spans="1:2" x14ac:dyDescent="0.2">
      <c r="A57" s="69">
        <v>1300</v>
      </c>
      <c r="B57" s="69"/>
    </row>
    <row r="58" spans="1:2" x14ac:dyDescent="0.2">
      <c r="A58" s="71">
        <v>45000</v>
      </c>
      <c r="B58" s="71"/>
    </row>
    <row r="59" spans="1:2" x14ac:dyDescent="0.2">
      <c r="A59" s="69">
        <v>18000</v>
      </c>
      <c r="B59" s="69"/>
    </row>
    <row r="60" spans="1:2" x14ac:dyDescent="0.2">
      <c r="A60" s="69">
        <v>5000</v>
      </c>
      <c r="B60" s="69"/>
    </row>
    <row r="61" spans="1:2" x14ac:dyDescent="0.2">
      <c r="A61" s="69">
        <v>2643</v>
      </c>
      <c r="B61" s="69"/>
    </row>
    <row r="62" spans="1:2" x14ac:dyDescent="0.2">
      <c r="A62" s="69">
        <v>2643</v>
      </c>
      <c r="B62" s="69"/>
    </row>
    <row r="63" spans="1:2" x14ac:dyDescent="0.2">
      <c r="A63" s="69">
        <v>2800</v>
      </c>
      <c r="B63" s="69"/>
    </row>
    <row r="64" spans="1:2" x14ac:dyDescent="0.2">
      <c r="A64" s="69">
        <v>38446.1</v>
      </c>
      <c r="B64" s="69"/>
    </row>
    <row r="65" spans="1:2" x14ac:dyDescent="0.2">
      <c r="A65" s="69">
        <v>117500</v>
      </c>
      <c r="B65" s="69"/>
    </row>
    <row r="66" spans="1:2" x14ac:dyDescent="0.2">
      <c r="A66" s="69">
        <v>22983.200000000001</v>
      </c>
      <c r="B66" s="69"/>
    </row>
    <row r="67" spans="1:2" x14ac:dyDescent="0.2">
      <c r="A67" s="69">
        <v>21667</v>
      </c>
      <c r="B67" s="69"/>
    </row>
    <row r="68" spans="1:2" x14ac:dyDescent="0.2">
      <c r="A68" s="69">
        <v>728</v>
      </c>
      <c r="B68" s="69"/>
    </row>
    <row r="69" spans="1:2" x14ac:dyDescent="0.2">
      <c r="A69" s="69">
        <v>2175000</v>
      </c>
      <c r="B69" s="69"/>
    </row>
    <row r="70" spans="1:2" x14ac:dyDescent="0.2">
      <c r="A70" s="69">
        <v>215000</v>
      </c>
      <c r="B70" s="69"/>
    </row>
    <row r="71" spans="1:2" x14ac:dyDescent="0.2">
      <c r="A71" s="69">
        <v>63000</v>
      </c>
      <c r="B71" s="69"/>
    </row>
    <row r="72" spans="1:2" x14ac:dyDescent="0.2">
      <c r="A72" s="69">
        <v>3178000</v>
      </c>
      <c r="B72" s="69"/>
    </row>
    <row r="73" spans="1:2" x14ac:dyDescent="0.2">
      <c r="A73" s="69">
        <v>384000</v>
      </c>
      <c r="B73" s="69"/>
    </row>
    <row r="74" spans="1:2" x14ac:dyDescent="0.2">
      <c r="A74" s="69">
        <v>3900</v>
      </c>
      <c r="B74" s="69"/>
    </row>
    <row r="75" spans="1:2" x14ac:dyDescent="0.2">
      <c r="A75" s="69">
        <v>20.87</v>
      </c>
      <c r="B75" s="69"/>
    </row>
    <row r="76" spans="1:2" x14ac:dyDescent="0.2">
      <c r="A76" s="69">
        <v>30</v>
      </c>
      <c r="B76" s="69"/>
    </row>
    <row r="77" spans="1:2" x14ac:dyDescent="0.2">
      <c r="A77" s="69">
        <v>37</v>
      </c>
      <c r="B77" s="69"/>
    </row>
    <row r="78" spans="1:2" x14ac:dyDescent="0.2">
      <c r="A78" s="69">
        <v>1600</v>
      </c>
      <c r="B78" s="69"/>
    </row>
    <row r="79" spans="1:2" x14ac:dyDescent="0.2">
      <c r="A79" s="69">
        <v>3500</v>
      </c>
      <c r="B79" s="69"/>
    </row>
    <row r="80" spans="1:2" x14ac:dyDescent="0.2">
      <c r="A80" s="69">
        <v>100000</v>
      </c>
      <c r="B80" s="69"/>
    </row>
    <row r="81" spans="1:2" x14ac:dyDescent="0.2">
      <c r="A81" s="69">
        <v>12000</v>
      </c>
      <c r="B81" s="69"/>
    </row>
    <row r="82" spans="1:2" x14ac:dyDescent="0.2">
      <c r="A82" s="69">
        <v>1021</v>
      </c>
      <c r="B82" s="69"/>
    </row>
    <row r="83" spans="1:2" x14ac:dyDescent="0.2">
      <c r="A83" s="69">
        <v>19500</v>
      </c>
      <c r="B83" s="69"/>
    </row>
    <row r="84" spans="1:2" x14ac:dyDescent="0.2">
      <c r="A84" s="69">
        <v>235</v>
      </c>
      <c r="B84" s="69"/>
    </row>
    <row r="85" spans="1:2" x14ac:dyDescent="0.2">
      <c r="A85" s="69">
        <v>315000</v>
      </c>
      <c r="B85" s="69"/>
    </row>
    <row r="86" spans="1:2" x14ac:dyDescent="0.2">
      <c r="A86" s="69">
        <v>175000</v>
      </c>
      <c r="B86" s="69"/>
    </row>
    <row r="87" spans="1:2" x14ac:dyDescent="0.2">
      <c r="A87" s="69">
        <v>81150</v>
      </c>
      <c r="B87" s="69"/>
    </row>
    <row r="88" spans="1:2" x14ac:dyDescent="0.2">
      <c r="A88" s="69">
        <v>21</v>
      </c>
      <c r="B88" s="69"/>
    </row>
    <row r="89" spans="1:2" x14ac:dyDescent="0.2">
      <c r="A89" s="69">
        <v>1602330</v>
      </c>
      <c r="B89" s="70"/>
    </row>
    <row r="90" spans="1:2" x14ac:dyDescent="0.2">
      <c r="A90" s="69">
        <v>412.5</v>
      </c>
      <c r="B90" s="70"/>
    </row>
    <row r="91" spans="1:2" x14ac:dyDescent="0.2">
      <c r="A91" s="69">
        <v>776</v>
      </c>
      <c r="B91" s="70"/>
    </row>
    <row r="92" spans="1:2" x14ac:dyDescent="0.2">
      <c r="A92" s="69">
        <v>1500</v>
      </c>
      <c r="B92" s="70"/>
    </row>
    <row r="93" spans="1:2" x14ac:dyDescent="0.2">
      <c r="A93" s="69">
        <v>277500</v>
      </c>
      <c r="B93" s="70"/>
    </row>
    <row r="94" spans="1:2" x14ac:dyDescent="0.2">
      <c r="A94" s="69">
        <v>103750</v>
      </c>
      <c r="B94" s="70"/>
    </row>
  </sheetData>
  <sortState xmlns:xlrd2="http://schemas.microsoft.com/office/spreadsheetml/2017/richdata2" ref="A1:B94">
    <sortCondition ref="B1:B94"/>
  </sortState>
  <pageMargins left="0.7" right="0.7" top="0.75" bottom="0.75" header="0.3" footer="0.3"/>
  <pageSetup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D53D0-83DC-B444-B99D-AC1F599DB555}">
  <dimension ref="A1:E365"/>
  <sheetViews>
    <sheetView zoomScale="75" zoomScaleNormal="100" workbookViewId="0">
      <selection activeCell="N21" sqref="N21"/>
    </sheetView>
  </sheetViews>
  <sheetFormatPr baseColWidth="10" defaultColWidth="10.6640625" defaultRowHeight="16" x14ac:dyDescent="0.2"/>
  <cols>
    <col min="1" max="1" width="13.83203125" customWidth="1"/>
    <col min="2" max="2" width="29.33203125" style="3" customWidth="1"/>
    <col min="3" max="3" width="18" customWidth="1"/>
    <col min="4" max="4" width="17.83203125" customWidth="1"/>
  </cols>
  <sheetData>
    <row r="1" spans="1:5" x14ac:dyDescent="0.2">
      <c r="A1" s="15" t="s">
        <v>6</v>
      </c>
      <c r="B1" s="9" t="s">
        <v>7</v>
      </c>
      <c r="C1" s="1" t="s">
        <v>22</v>
      </c>
      <c r="D1" s="1" t="s">
        <v>8</v>
      </c>
      <c r="E1" s="15" t="s">
        <v>9</v>
      </c>
    </row>
    <row r="2" spans="1:5" x14ac:dyDescent="0.2">
      <c r="A2" s="13" t="s">
        <v>427</v>
      </c>
      <c r="B2" s="3" t="s">
        <v>380</v>
      </c>
      <c r="C2" s="5">
        <v>23000000</v>
      </c>
      <c r="D2">
        <v>51.7</v>
      </c>
      <c r="E2" s="13"/>
    </row>
    <row r="3" spans="1:5" x14ac:dyDescent="0.2">
      <c r="A3" s="13" t="s">
        <v>427</v>
      </c>
      <c r="B3" s="3" t="s">
        <v>376</v>
      </c>
      <c r="C3" s="5">
        <v>415000</v>
      </c>
      <c r="D3">
        <v>197.69300000000001</v>
      </c>
      <c r="E3" s="13"/>
    </row>
    <row r="4" spans="1:5" x14ac:dyDescent="0.2">
      <c r="A4" s="13" t="s">
        <v>427</v>
      </c>
      <c r="B4" s="3" t="s">
        <v>372</v>
      </c>
      <c r="C4" s="5">
        <v>200000</v>
      </c>
      <c r="D4">
        <v>1501</v>
      </c>
      <c r="E4" s="13"/>
    </row>
    <row r="5" spans="1:5" x14ac:dyDescent="0.2">
      <c r="A5" s="13" t="s">
        <v>28</v>
      </c>
      <c r="B5" s="3" t="s">
        <v>104</v>
      </c>
      <c r="C5" s="5">
        <v>139842</v>
      </c>
      <c r="E5" s="13"/>
    </row>
    <row r="6" spans="1:5" x14ac:dyDescent="0.2">
      <c r="A6" s="13" t="s">
        <v>28</v>
      </c>
      <c r="B6" s="3" t="s">
        <v>104</v>
      </c>
      <c r="C6" s="5">
        <v>139842</v>
      </c>
      <c r="E6" s="13"/>
    </row>
    <row r="7" spans="1:5" x14ac:dyDescent="0.2">
      <c r="A7" s="13" t="s">
        <v>28</v>
      </c>
      <c r="B7" s="3" t="s">
        <v>104</v>
      </c>
      <c r="C7" s="5">
        <v>139842</v>
      </c>
      <c r="E7" s="13">
        <v>60</v>
      </c>
    </row>
    <row r="8" spans="1:5" x14ac:dyDescent="0.2">
      <c r="A8" s="13" t="s">
        <v>28</v>
      </c>
      <c r="B8" s="3" t="s">
        <v>104</v>
      </c>
      <c r="C8" s="5">
        <v>139842</v>
      </c>
      <c r="D8">
        <v>20</v>
      </c>
      <c r="E8" s="13"/>
    </row>
    <row r="9" spans="1:5" x14ac:dyDescent="0.2">
      <c r="A9" s="13" t="s">
        <v>28</v>
      </c>
      <c r="B9" s="3" t="s">
        <v>66</v>
      </c>
      <c r="C9" s="5">
        <v>5735</v>
      </c>
      <c r="D9">
        <v>35.5</v>
      </c>
      <c r="E9" s="13"/>
    </row>
    <row r="10" spans="1:5" x14ac:dyDescent="0.2">
      <c r="A10" s="13" t="s">
        <v>28</v>
      </c>
      <c r="B10" s="3" t="s">
        <v>66</v>
      </c>
      <c r="C10" s="5">
        <v>5735</v>
      </c>
      <c r="E10" s="13"/>
    </row>
    <row r="11" spans="1:5" x14ac:dyDescent="0.2">
      <c r="A11" s="13" t="s">
        <v>28</v>
      </c>
      <c r="B11" s="3" t="s">
        <v>66</v>
      </c>
      <c r="C11" s="5">
        <v>5735</v>
      </c>
      <c r="E11" s="13"/>
    </row>
    <row r="12" spans="1:5" x14ac:dyDescent="0.2">
      <c r="A12" s="13" t="s">
        <v>28</v>
      </c>
      <c r="B12" s="3" t="s">
        <v>66</v>
      </c>
      <c r="C12" s="5">
        <v>5735</v>
      </c>
      <c r="E12" s="13">
        <v>25</v>
      </c>
    </row>
    <row r="13" spans="1:5" x14ac:dyDescent="0.2">
      <c r="A13" s="13" t="s">
        <v>28</v>
      </c>
      <c r="B13" s="3" t="s">
        <v>156</v>
      </c>
      <c r="C13">
        <v>11950</v>
      </c>
      <c r="D13">
        <v>51.505000000000003</v>
      </c>
      <c r="E13" s="13"/>
    </row>
    <row r="14" spans="1:5" x14ac:dyDescent="0.2">
      <c r="A14" s="13" t="s">
        <v>28</v>
      </c>
      <c r="B14" s="3" t="s">
        <v>69</v>
      </c>
      <c r="C14">
        <v>64.8</v>
      </c>
      <c r="D14">
        <v>420</v>
      </c>
      <c r="E14" s="13"/>
    </row>
    <row r="15" spans="1:5" x14ac:dyDescent="0.2">
      <c r="A15" s="13" t="s">
        <v>28</v>
      </c>
      <c r="B15" s="3" t="s">
        <v>69</v>
      </c>
      <c r="C15">
        <v>64.8</v>
      </c>
      <c r="E15" s="13"/>
    </row>
    <row r="16" spans="1:5" x14ac:dyDescent="0.2">
      <c r="A16" s="13" t="s">
        <v>28</v>
      </c>
      <c r="B16" s="3" t="s">
        <v>69</v>
      </c>
      <c r="C16">
        <v>64.8</v>
      </c>
      <c r="E16" s="13"/>
    </row>
    <row r="17" spans="1:5" x14ac:dyDescent="0.2">
      <c r="A17" s="13" t="s">
        <v>28</v>
      </c>
      <c r="B17" s="3" t="s">
        <v>69</v>
      </c>
      <c r="C17">
        <v>64.8</v>
      </c>
      <c r="E17" s="13">
        <v>90</v>
      </c>
    </row>
    <row r="18" spans="1:5" x14ac:dyDescent="0.2">
      <c r="A18" s="13" t="s">
        <v>28</v>
      </c>
      <c r="B18" s="3" t="s">
        <v>176</v>
      </c>
      <c r="C18" s="5">
        <v>1300</v>
      </c>
      <c r="D18">
        <v>25.683</v>
      </c>
      <c r="E18" s="13"/>
    </row>
    <row r="19" spans="1:5" x14ac:dyDescent="0.2">
      <c r="A19" s="13" t="s">
        <v>28</v>
      </c>
      <c r="B19" s="20" t="s">
        <v>246</v>
      </c>
      <c r="C19" s="5">
        <v>45000</v>
      </c>
      <c r="D19">
        <v>3.2</v>
      </c>
      <c r="E19" s="13"/>
    </row>
    <row r="20" spans="1:5" x14ac:dyDescent="0.2">
      <c r="A20" s="13" t="s">
        <v>28</v>
      </c>
      <c r="B20" s="3" t="s">
        <v>242</v>
      </c>
      <c r="C20" s="5">
        <v>18000</v>
      </c>
      <c r="D20">
        <v>63.3</v>
      </c>
      <c r="E20" s="13"/>
    </row>
    <row r="21" spans="1:5" x14ac:dyDescent="0.2">
      <c r="A21" s="13" t="s">
        <v>28</v>
      </c>
      <c r="B21" s="3" t="s">
        <v>102</v>
      </c>
      <c r="C21" s="5">
        <v>5000</v>
      </c>
      <c r="E21" s="13"/>
    </row>
    <row r="22" spans="1:5" x14ac:dyDescent="0.2">
      <c r="A22" s="13" t="s">
        <v>28</v>
      </c>
      <c r="B22" s="3" t="s">
        <v>102</v>
      </c>
      <c r="C22" s="5">
        <v>5000</v>
      </c>
      <c r="E22" s="13"/>
    </row>
    <row r="23" spans="1:5" x14ac:dyDescent="0.2">
      <c r="A23" s="13" t="s">
        <v>28</v>
      </c>
      <c r="B23" s="3" t="s">
        <v>102</v>
      </c>
      <c r="C23" s="5">
        <v>5000</v>
      </c>
      <c r="D23">
        <v>21</v>
      </c>
      <c r="E23" s="13"/>
    </row>
    <row r="24" spans="1:5" x14ac:dyDescent="0.2">
      <c r="A24" s="13" t="s">
        <v>505</v>
      </c>
      <c r="B24" s="3" t="s">
        <v>29</v>
      </c>
      <c r="C24" s="5">
        <v>7000</v>
      </c>
      <c r="E24" s="13"/>
    </row>
    <row r="25" spans="1:5" x14ac:dyDescent="0.2">
      <c r="A25" s="13" t="s">
        <v>505</v>
      </c>
      <c r="B25" s="3" t="s">
        <v>100</v>
      </c>
      <c r="C25" s="5">
        <v>2643</v>
      </c>
      <c r="E25" s="13"/>
    </row>
    <row r="26" spans="1:5" x14ac:dyDescent="0.2">
      <c r="A26" s="13" t="s">
        <v>505</v>
      </c>
      <c r="B26" s="3" t="s">
        <v>100</v>
      </c>
      <c r="C26" s="5">
        <v>2643</v>
      </c>
      <c r="E26" s="13"/>
    </row>
    <row r="27" spans="1:5" x14ac:dyDescent="0.2">
      <c r="A27" s="13" t="s">
        <v>505</v>
      </c>
      <c r="B27" s="3" t="s">
        <v>100</v>
      </c>
      <c r="C27" s="5">
        <v>2643</v>
      </c>
      <c r="E27" s="13">
        <v>1240</v>
      </c>
    </row>
    <row r="28" spans="1:5" x14ac:dyDescent="0.2">
      <c r="A28" s="13" t="s">
        <v>505</v>
      </c>
      <c r="B28" s="3" t="s">
        <v>64</v>
      </c>
      <c r="C28" s="5">
        <v>2643</v>
      </c>
      <c r="D28">
        <v>7860</v>
      </c>
      <c r="E28" s="13"/>
    </row>
    <row r="29" spans="1:5" x14ac:dyDescent="0.2">
      <c r="A29" s="13" t="s">
        <v>505</v>
      </c>
      <c r="B29" s="3" t="s">
        <v>194</v>
      </c>
      <c r="C29">
        <v>2800</v>
      </c>
      <c r="D29">
        <v>4375</v>
      </c>
      <c r="E29" s="13"/>
    </row>
    <row r="30" spans="1:5" x14ac:dyDescent="0.2">
      <c r="A30" s="13"/>
      <c r="B30" s="3" t="s">
        <v>214</v>
      </c>
      <c r="C30" s="6">
        <v>38446.1</v>
      </c>
      <c r="D30">
        <v>618.5</v>
      </c>
      <c r="E30" s="13">
        <v>232.9</v>
      </c>
    </row>
    <row r="31" spans="1:5" x14ac:dyDescent="0.2">
      <c r="A31" s="13"/>
      <c r="B31" s="3" t="s">
        <v>88</v>
      </c>
      <c r="C31" s="5">
        <v>45.2</v>
      </c>
      <c r="E31" s="13"/>
    </row>
    <row r="32" spans="1:5" x14ac:dyDescent="0.2">
      <c r="A32" s="13"/>
      <c r="B32" s="3" t="s">
        <v>88</v>
      </c>
      <c r="C32" s="5">
        <v>45.2</v>
      </c>
      <c r="E32" s="13"/>
    </row>
    <row r="33" spans="1:5" x14ac:dyDescent="0.2">
      <c r="A33" s="13"/>
      <c r="B33" s="3" t="s">
        <v>234</v>
      </c>
      <c r="C33" s="5">
        <v>117500</v>
      </c>
      <c r="D33">
        <v>114.66</v>
      </c>
      <c r="E33" s="13"/>
    </row>
    <row r="34" spans="1:5" x14ac:dyDescent="0.2">
      <c r="A34" s="13"/>
      <c r="B34" s="3" t="s">
        <v>86</v>
      </c>
      <c r="C34" s="5">
        <v>102500</v>
      </c>
      <c r="E34" s="13"/>
    </row>
    <row r="35" spans="1:5" x14ac:dyDescent="0.2">
      <c r="A35" s="13"/>
      <c r="B35" s="3" t="s">
        <v>39</v>
      </c>
      <c r="C35" s="5">
        <v>750000</v>
      </c>
      <c r="E35" s="13"/>
    </row>
    <row r="36" spans="1:5" x14ac:dyDescent="0.2">
      <c r="A36" s="13"/>
      <c r="B36" s="58" t="s">
        <v>278</v>
      </c>
      <c r="C36" s="5">
        <v>434000</v>
      </c>
      <c r="D36">
        <v>503.9</v>
      </c>
      <c r="E36" s="13"/>
    </row>
    <row r="37" spans="1:5" x14ac:dyDescent="0.2">
      <c r="A37" s="13"/>
      <c r="B37" s="3" t="s">
        <v>225</v>
      </c>
      <c r="C37">
        <v>22983.200000000001</v>
      </c>
      <c r="D37">
        <v>312.55</v>
      </c>
      <c r="E37" s="13">
        <v>215.8</v>
      </c>
    </row>
    <row r="38" spans="1:5" x14ac:dyDescent="0.2">
      <c r="A38" s="13"/>
      <c r="B38" s="3" t="s">
        <v>45</v>
      </c>
      <c r="C38" s="5">
        <v>61000</v>
      </c>
      <c r="E38" s="13"/>
    </row>
    <row r="39" spans="1:5" x14ac:dyDescent="0.2">
      <c r="A39" s="13"/>
      <c r="B39" s="3" t="s">
        <v>45</v>
      </c>
      <c r="C39" s="5">
        <v>61000</v>
      </c>
      <c r="E39" s="13"/>
    </row>
    <row r="40" spans="1:5" x14ac:dyDescent="0.2">
      <c r="A40" s="13"/>
      <c r="B40" s="3" t="s">
        <v>58</v>
      </c>
      <c r="C40" s="5">
        <v>21667</v>
      </c>
      <c r="D40">
        <v>60.92</v>
      </c>
      <c r="E40" s="13"/>
    </row>
    <row r="41" spans="1:5" x14ac:dyDescent="0.2">
      <c r="A41" s="13"/>
      <c r="B41" s="3" t="s">
        <v>61</v>
      </c>
      <c r="C41">
        <v>728</v>
      </c>
      <c r="D41">
        <v>349.23</v>
      </c>
      <c r="E41" s="13"/>
    </row>
    <row r="42" spans="1:5" x14ac:dyDescent="0.2">
      <c r="A42" s="13"/>
      <c r="B42" s="3" t="s">
        <v>238</v>
      </c>
      <c r="C42" s="5">
        <v>2175000</v>
      </c>
      <c r="D42">
        <v>4.0999999999999996</v>
      </c>
      <c r="E42" s="13">
        <v>8.6</v>
      </c>
    </row>
    <row r="43" spans="1:5" x14ac:dyDescent="0.2">
      <c r="A43" s="13"/>
      <c r="B43" s="3" t="s">
        <v>81</v>
      </c>
      <c r="C43" s="5">
        <v>6500</v>
      </c>
      <c r="E43" s="13"/>
    </row>
    <row r="44" spans="1:5" x14ac:dyDescent="0.2">
      <c r="A44" s="13"/>
      <c r="B44" s="3" t="s">
        <v>160</v>
      </c>
      <c r="C44" s="5">
        <v>200000</v>
      </c>
      <c r="E44" s="13"/>
    </row>
    <row r="45" spans="1:5" x14ac:dyDescent="0.2">
      <c r="A45" s="13"/>
      <c r="B45" s="3" t="s">
        <v>56</v>
      </c>
      <c r="C45" s="5">
        <v>215000</v>
      </c>
      <c r="E45" s="13"/>
    </row>
    <row r="46" spans="1:5" x14ac:dyDescent="0.2">
      <c r="A46" s="13"/>
      <c r="B46" s="3" t="s">
        <v>56</v>
      </c>
      <c r="C46" s="5">
        <v>215000</v>
      </c>
      <c r="E46" s="13"/>
    </row>
    <row r="47" spans="1:5" x14ac:dyDescent="0.2">
      <c r="A47" s="13"/>
      <c r="B47" s="3" t="s">
        <v>56</v>
      </c>
      <c r="C47" s="5">
        <v>215000</v>
      </c>
      <c r="E47" s="13"/>
    </row>
    <row r="48" spans="1:5" x14ac:dyDescent="0.2">
      <c r="A48" s="13"/>
      <c r="B48" s="3" t="s">
        <v>56</v>
      </c>
      <c r="C48" s="5">
        <v>215000</v>
      </c>
      <c r="E48" s="13"/>
    </row>
    <row r="49" spans="1:5" x14ac:dyDescent="0.2">
      <c r="A49" s="13"/>
      <c r="B49" s="20" t="s">
        <v>56</v>
      </c>
      <c r="C49" s="5">
        <v>215000</v>
      </c>
      <c r="D49">
        <v>6.3</v>
      </c>
      <c r="E49" s="13">
        <v>102.75</v>
      </c>
    </row>
    <row r="50" spans="1:5" x14ac:dyDescent="0.2">
      <c r="A50" s="13"/>
      <c r="B50" s="3" t="s">
        <v>53</v>
      </c>
      <c r="C50" s="5">
        <v>164500</v>
      </c>
      <c r="E50" s="13"/>
    </row>
    <row r="51" spans="1:5" x14ac:dyDescent="0.2">
      <c r="A51" s="13"/>
      <c r="B51" s="3" t="s">
        <v>53</v>
      </c>
      <c r="C51" s="5">
        <v>164500</v>
      </c>
      <c r="E51" s="13"/>
    </row>
    <row r="52" spans="1:5" x14ac:dyDescent="0.2">
      <c r="A52" s="13"/>
      <c r="B52" s="3" t="s">
        <v>53</v>
      </c>
      <c r="C52" s="5">
        <v>164500</v>
      </c>
      <c r="E52" s="13"/>
    </row>
    <row r="53" spans="1:5" x14ac:dyDescent="0.2">
      <c r="A53" s="13"/>
      <c r="B53" s="3" t="s">
        <v>53</v>
      </c>
      <c r="C53" s="5">
        <v>164500</v>
      </c>
      <c r="D53">
        <v>30</v>
      </c>
      <c r="E53" s="13">
        <v>640</v>
      </c>
    </row>
    <row r="54" spans="1:5" x14ac:dyDescent="0.2">
      <c r="A54" s="13"/>
      <c r="B54" s="3" t="s">
        <v>188</v>
      </c>
      <c r="C54" s="5">
        <v>63000</v>
      </c>
      <c r="D54">
        <v>43.75</v>
      </c>
      <c r="E54" s="13"/>
    </row>
    <row r="55" spans="1:5" x14ac:dyDescent="0.2">
      <c r="A55" s="13"/>
      <c r="B55" s="3" t="s">
        <v>137</v>
      </c>
      <c r="C55" s="5">
        <v>3178000</v>
      </c>
      <c r="D55">
        <v>49.643599999999999</v>
      </c>
      <c r="E55" s="13"/>
    </row>
    <row r="56" spans="1:5" x14ac:dyDescent="0.2">
      <c r="A56" s="13"/>
      <c r="B56" s="3" t="s">
        <v>141</v>
      </c>
      <c r="C56" s="5">
        <v>3178000</v>
      </c>
      <c r="E56" s="13"/>
    </row>
    <row r="57" spans="1:5" x14ac:dyDescent="0.2">
      <c r="A57" s="13"/>
      <c r="B57" s="3" t="s">
        <v>250</v>
      </c>
      <c r="C57" s="5">
        <v>444900</v>
      </c>
      <c r="E57" s="13"/>
    </row>
    <row r="58" spans="1:5" x14ac:dyDescent="0.2">
      <c r="A58" s="13"/>
      <c r="B58" s="3" t="s">
        <v>253</v>
      </c>
      <c r="C58" s="5">
        <v>384000</v>
      </c>
      <c r="E58" s="13">
        <v>16.2</v>
      </c>
    </row>
    <row r="59" spans="1:5" x14ac:dyDescent="0.2">
      <c r="A59" s="13"/>
      <c r="B59" s="3" t="s">
        <v>219</v>
      </c>
      <c r="C59" s="5">
        <v>3900</v>
      </c>
      <c r="D59">
        <v>213.6</v>
      </c>
      <c r="E59" s="13">
        <v>354.7</v>
      </c>
    </row>
    <row r="60" spans="1:5" x14ac:dyDescent="0.2">
      <c r="A60" s="13"/>
      <c r="B60" s="3" t="s">
        <v>125</v>
      </c>
      <c r="C60" s="5">
        <v>20.87</v>
      </c>
      <c r="E60" s="13">
        <v>1743.1</v>
      </c>
    </row>
    <row r="61" spans="1:5" x14ac:dyDescent="0.2">
      <c r="A61" s="13"/>
      <c r="B61" s="3" t="s">
        <v>129</v>
      </c>
      <c r="C61" s="5">
        <v>30</v>
      </c>
      <c r="E61" s="13">
        <v>2842.33</v>
      </c>
    </row>
    <row r="62" spans="1:5" x14ac:dyDescent="0.2">
      <c r="A62" s="13"/>
      <c r="B62" s="3" t="s">
        <v>131</v>
      </c>
      <c r="C62" s="5">
        <v>37</v>
      </c>
      <c r="E62" s="13">
        <v>1711.28</v>
      </c>
    </row>
    <row r="63" spans="1:5" x14ac:dyDescent="0.2">
      <c r="A63" s="13"/>
      <c r="B63" s="3" t="s">
        <v>207</v>
      </c>
      <c r="C63" s="5">
        <v>800000</v>
      </c>
      <c r="D63">
        <v>23.725000000000001</v>
      </c>
      <c r="E63" s="13">
        <v>64.758300000000006</v>
      </c>
    </row>
    <row r="64" spans="1:5" x14ac:dyDescent="0.2">
      <c r="A64" s="13"/>
      <c r="B64" s="3" t="s">
        <v>49</v>
      </c>
      <c r="C64" s="5">
        <v>1600</v>
      </c>
      <c r="D64">
        <v>1054</v>
      </c>
      <c r="E64" s="13"/>
    </row>
    <row r="65" spans="1:5" x14ac:dyDescent="0.2">
      <c r="A65" s="13"/>
      <c r="B65" s="29" t="s">
        <v>74</v>
      </c>
      <c r="C65" s="5">
        <v>4175</v>
      </c>
      <c r="E65" s="13"/>
    </row>
    <row r="66" spans="1:5" x14ac:dyDescent="0.2">
      <c r="A66" s="13"/>
      <c r="B66" s="29" t="s">
        <v>74</v>
      </c>
      <c r="C66" s="5">
        <v>4175</v>
      </c>
      <c r="E66" s="13"/>
    </row>
    <row r="67" spans="1:5" x14ac:dyDescent="0.2">
      <c r="A67" s="13"/>
      <c r="B67" s="3" t="s">
        <v>191</v>
      </c>
      <c r="C67">
        <v>3940034</v>
      </c>
      <c r="E67" s="13"/>
    </row>
    <row r="68" spans="1:5" x14ac:dyDescent="0.2">
      <c r="A68" s="13"/>
      <c r="B68" s="3" t="s">
        <v>167</v>
      </c>
      <c r="C68" s="5">
        <v>26500</v>
      </c>
      <c r="E68" s="13"/>
    </row>
    <row r="69" spans="1:5" x14ac:dyDescent="0.2">
      <c r="A69" s="13"/>
      <c r="B69" s="3" t="s">
        <v>259</v>
      </c>
      <c r="C69" s="5">
        <v>3500</v>
      </c>
      <c r="E69" s="13">
        <v>132</v>
      </c>
    </row>
    <row r="70" spans="1:5" x14ac:dyDescent="0.2">
      <c r="A70" s="13"/>
      <c r="B70" s="3" t="s">
        <v>83</v>
      </c>
      <c r="C70" s="5">
        <v>17000</v>
      </c>
      <c r="E70" s="13"/>
    </row>
    <row r="71" spans="1:5" x14ac:dyDescent="0.2">
      <c r="A71" s="13"/>
      <c r="B71" s="3" t="s">
        <v>220</v>
      </c>
      <c r="C71" s="5">
        <v>100000</v>
      </c>
      <c r="D71">
        <v>48.7</v>
      </c>
      <c r="E71" s="13">
        <v>64.099999999999994</v>
      </c>
    </row>
    <row r="72" spans="1:5" x14ac:dyDescent="0.2">
      <c r="A72" s="13"/>
      <c r="B72" s="3" t="s">
        <v>77</v>
      </c>
      <c r="C72">
        <v>105</v>
      </c>
      <c r="E72" s="13"/>
    </row>
    <row r="73" spans="1:5" x14ac:dyDescent="0.2">
      <c r="A73" s="13"/>
      <c r="B73" s="3" t="s">
        <v>228</v>
      </c>
      <c r="C73" s="5">
        <v>12000</v>
      </c>
      <c r="D73">
        <v>47.548299999999998</v>
      </c>
      <c r="E73" s="13"/>
    </row>
    <row r="74" spans="1:5" x14ac:dyDescent="0.2">
      <c r="A74" s="13"/>
      <c r="B74" s="3" t="s">
        <v>203</v>
      </c>
      <c r="C74" s="5">
        <v>1332</v>
      </c>
      <c r="D74">
        <v>58.4</v>
      </c>
      <c r="E74" s="13">
        <v>1030</v>
      </c>
    </row>
    <row r="75" spans="1:5" x14ac:dyDescent="0.2">
      <c r="A75" s="13"/>
      <c r="B75" s="3" t="s">
        <v>221</v>
      </c>
      <c r="C75" s="5">
        <v>1021</v>
      </c>
      <c r="D75">
        <v>170.1</v>
      </c>
      <c r="E75" s="13">
        <v>101.9</v>
      </c>
    </row>
    <row r="76" spans="1:5" x14ac:dyDescent="0.2">
      <c r="A76" s="13"/>
      <c r="B76" s="3" t="s">
        <v>222</v>
      </c>
      <c r="C76" s="5">
        <v>19500</v>
      </c>
      <c r="D76">
        <v>248.8</v>
      </c>
      <c r="E76" s="13">
        <v>302.2</v>
      </c>
    </row>
    <row r="77" spans="1:5" x14ac:dyDescent="0.2">
      <c r="A77" s="13"/>
      <c r="B77" s="3" t="s">
        <v>263</v>
      </c>
      <c r="C77">
        <v>235</v>
      </c>
      <c r="D77">
        <v>138.59800000000001</v>
      </c>
      <c r="E77" s="13"/>
    </row>
    <row r="78" spans="1:5" x14ac:dyDescent="0.2">
      <c r="A78" s="13"/>
      <c r="B78" s="3" t="s">
        <v>164</v>
      </c>
      <c r="C78" s="5">
        <v>87000</v>
      </c>
      <c r="E78" s="13"/>
    </row>
    <row r="79" spans="1:5" x14ac:dyDescent="0.2">
      <c r="A79" s="13"/>
      <c r="B79" s="3" t="s">
        <v>210</v>
      </c>
      <c r="C79" s="5">
        <v>315000</v>
      </c>
      <c r="D79">
        <v>64.122</v>
      </c>
      <c r="E79" s="13">
        <v>104.312</v>
      </c>
    </row>
    <row r="80" spans="1:5" x14ac:dyDescent="0.2">
      <c r="A80" s="13"/>
      <c r="B80" s="58" t="s">
        <v>274</v>
      </c>
      <c r="C80" s="5">
        <v>175000</v>
      </c>
      <c r="D80">
        <v>15.4489</v>
      </c>
      <c r="E80" s="13"/>
    </row>
    <row r="81" spans="1:5" x14ac:dyDescent="0.2">
      <c r="A81" s="13"/>
      <c r="B81" s="3" t="s">
        <v>184</v>
      </c>
      <c r="C81" s="5">
        <v>81150</v>
      </c>
      <c r="D81">
        <v>307.8</v>
      </c>
      <c r="E81" s="13"/>
    </row>
    <row r="82" spans="1:5" x14ac:dyDescent="0.2">
      <c r="A82" s="13"/>
      <c r="B82" s="3" t="s">
        <v>107</v>
      </c>
      <c r="C82" s="5">
        <v>119700</v>
      </c>
      <c r="E82" s="13"/>
    </row>
    <row r="83" spans="1:5" x14ac:dyDescent="0.2">
      <c r="A83" s="13"/>
      <c r="B83" s="3" t="s">
        <v>111</v>
      </c>
      <c r="C83" s="5">
        <v>119700</v>
      </c>
      <c r="E83" s="13"/>
    </row>
    <row r="84" spans="1:5" x14ac:dyDescent="0.2">
      <c r="A84" s="13"/>
      <c r="B84" s="3" t="s">
        <v>121</v>
      </c>
      <c r="C84" s="5">
        <v>20200</v>
      </c>
      <c r="E84" s="13"/>
    </row>
    <row r="85" spans="1:5" x14ac:dyDescent="0.2">
      <c r="A85" s="13"/>
      <c r="B85" s="3" t="s">
        <v>132</v>
      </c>
      <c r="C85">
        <v>21</v>
      </c>
      <c r="E85" s="13">
        <v>1436.55</v>
      </c>
    </row>
    <row r="86" spans="1:5" x14ac:dyDescent="0.2">
      <c r="A86" s="13"/>
      <c r="B86" s="3" t="s">
        <v>115</v>
      </c>
      <c r="C86" s="5">
        <v>10650</v>
      </c>
      <c r="E86" s="13"/>
    </row>
    <row r="87" spans="1:5" x14ac:dyDescent="0.2">
      <c r="A87" s="13"/>
      <c r="B87" s="3" t="s">
        <v>266</v>
      </c>
      <c r="C87" s="5">
        <v>101250</v>
      </c>
      <c r="E87" s="13"/>
    </row>
    <row r="88" spans="1:5" x14ac:dyDescent="0.2">
      <c r="A88" s="13"/>
      <c r="B88" s="3" t="s">
        <v>269</v>
      </c>
      <c r="C88" s="5">
        <v>101250</v>
      </c>
      <c r="E88" s="13"/>
    </row>
    <row r="89" spans="1:5" x14ac:dyDescent="0.2">
      <c r="A89" s="13"/>
      <c r="B89" s="3" t="s">
        <v>118</v>
      </c>
      <c r="C89" s="5">
        <v>1602330</v>
      </c>
      <c r="D89">
        <v>9.66</v>
      </c>
      <c r="E89" s="13"/>
    </row>
    <row r="90" spans="1:5" x14ac:dyDescent="0.2">
      <c r="A90" s="13"/>
      <c r="B90" s="3" t="s">
        <v>149</v>
      </c>
      <c r="C90">
        <v>412.5</v>
      </c>
      <c r="D90">
        <v>263.02999999999997</v>
      </c>
      <c r="E90" s="13"/>
    </row>
    <row r="91" spans="1:5" x14ac:dyDescent="0.2">
      <c r="A91" s="13"/>
      <c r="B91" s="3" t="s">
        <v>227</v>
      </c>
      <c r="C91" s="5">
        <v>776</v>
      </c>
      <c r="D91">
        <v>110.2</v>
      </c>
      <c r="E91" s="13">
        <v>175</v>
      </c>
    </row>
    <row r="92" spans="1:5" x14ac:dyDescent="0.2">
      <c r="A92" s="13"/>
      <c r="B92" s="3" t="s">
        <v>180</v>
      </c>
      <c r="C92" s="5">
        <v>700000</v>
      </c>
      <c r="E92" s="13"/>
    </row>
    <row r="93" spans="1:5" x14ac:dyDescent="0.2">
      <c r="A93" s="13"/>
      <c r="B93" s="3" t="s">
        <v>92</v>
      </c>
      <c r="C93" s="5">
        <v>4500</v>
      </c>
      <c r="D93">
        <v>2625</v>
      </c>
      <c r="E93" s="13"/>
    </row>
    <row r="94" spans="1:5" x14ac:dyDescent="0.2">
      <c r="A94" s="13"/>
      <c r="B94" s="20" t="s">
        <v>112</v>
      </c>
      <c r="C94" s="5">
        <v>1500</v>
      </c>
      <c r="D94">
        <v>642.1</v>
      </c>
      <c r="E94" s="13"/>
    </row>
    <row r="95" spans="1:5" x14ac:dyDescent="0.2">
      <c r="A95" s="13"/>
      <c r="B95" s="3" t="s">
        <v>94</v>
      </c>
      <c r="C95" s="5">
        <v>413</v>
      </c>
      <c r="E95" s="13"/>
    </row>
    <row r="96" spans="1:5" x14ac:dyDescent="0.2">
      <c r="A96" s="13"/>
      <c r="B96" s="3" t="s">
        <v>271</v>
      </c>
      <c r="C96" s="5">
        <v>277500</v>
      </c>
      <c r="D96">
        <v>19.042999999999999</v>
      </c>
      <c r="E96" s="13"/>
    </row>
    <row r="97" spans="1:5" x14ac:dyDescent="0.2">
      <c r="A97" s="13"/>
      <c r="B97" s="3" t="s">
        <v>426</v>
      </c>
      <c r="C97" s="5">
        <v>475000</v>
      </c>
      <c r="E97" s="13"/>
    </row>
    <row r="98" spans="1:5" x14ac:dyDescent="0.2">
      <c r="A98" s="13"/>
      <c r="B98" s="3" t="s">
        <v>223</v>
      </c>
      <c r="C98" s="5">
        <v>103750</v>
      </c>
      <c r="D98">
        <v>80.7</v>
      </c>
      <c r="E98" s="13">
        <v>45.1</v>
      </c>
    </row>
    <row r="99" spans="1:5" x14ac:dyDescent="0.2">
      <c r="A99" s="13"/>
      <c r="B99" s="3" t="s">
        <v>144</v>
      </c>
      <c r="C99" s="5">
        <v>5200</v>
      </c>
      <c r="E99" s="13"/>
    </row>
    <row r="100" spans="1:5" x14ac:dyDescent="0.2">
      <c r="A100" s="13"/>
      <c r="B100" s="3" t="s">
        <v>147</v>
      </c>
      <c r="C100" s="5">
        <v>4132</v>
      </c>
      <c r="E100" s="13"/>
    </row>
    <row r="101" spans="1:5" x14ac:dyDescent="0.2">
      <c r="A101" s="13"/>
      <c r="E101" s="13"/>
    </row>
    <row r="102" spans="1:5" x14ac:dyDescent="0.2">
      <c r="A102" s="13"/>
      <c r="E102" s="13"/>
    </row>
    <row r="103" spans="1:5" x14ac:dyDescent="0.2">
      <c r="A103" s="13"/>
      <c r="E103" s="13"/>
    </row>
    <row r="104" spans="1:5" x14ac:dyDescent="0.2">
      <c r="A104" s="13"/>
      <c r="E104" s="13"/>
    </row>
    <row r="105" spans="1:5" x14ac:dyDescent="0.2">
      <c r="A105" s="13"/>
      <c r="E105" s="13"/>
    </row>
    <row r="106" spans="1:5" x14ac:dyDescent="0.2">
      <c r="A106" s="13"/>
      <c r="E106" s="13"/>
    </row>
    <row r="107" spans="1:5" x14ac:dyDescent="0.2">
      <c r="A107" s="13"/>
      <c r="E107" s="13"/>
    </row>
    <row r="108" spans="1:5" x14ac:dyDescent="0.2">
      <c r="A108" s="13"/>
      <c r="E108" s="13"/>
    </row>
    <row r="109" spans="1:5" x14ac:dyDescent="0.2">
      <c r="A109" s="13"/>
      <c r="E109" s="13"/>
    </row>
    <row r="110" spans="1:5" x14ac:dyDescent="0.2">
      <c r="A110" s="13"/>
      <c r="E110" s="13"/>
    </row>
    <row r="111" spans="1:5" x14ac:dyDescent="0.2">
      <c r="A111" s="13"/>
      <c r="E111" s="13"/>
    </row>
    <row r="112" spans="1:5" x14ac:dyDescent="0.2">
      <c r="A112" s="13"/>
      <c r="E112" s="13"/>
    </row>
    <row r="113" spans="1:5" x14ac:dyDescent="0.2">
      <c r="A113" s="13"/>
      <c r="E113" s="13"/>
    </row>
    <row r="114" spans="1:5" x14ac:dyDescent="0.2">
      <c r="A114" s="13"/>
      <c r="E114" s="13"/>
    </row>
    <row r="115" spans="1:5" x14ac:dyDescent="0.2">
      <c r="A115" s="13"/>
      <c r="E115" s="13"/>
    </row>
    <row r="116" spans="1:5" x14ac:dyDescent="0.2">
      <c r="A116" s="13"/>
      <c r="E116" s="13"/>
    </row>
    <row r="117" spans="1:5" x14ac:dyDescent="0.2">
      <c r="A117" s="13"/>
      <c r="E117" s="13"/>
    </row>
    <row r="118" spans="1:5" x14ac:dyDescent="0.2">
      <c r="A118" s="13"/>
      <c r="E118" s="13"/>
    </row>
    <row r="119" spans="1:5" x14ac:dyDescent="0.2">
      <c r="A119" s="13"/>
      <c r="E119" s="13"/>
    </row>
    <row r="120" spans="1:5" x14ac:dyDescent="0.2">
      <c r="A120" s="13"/>
      <c r="E120" s="13"/>
    </row>
    <row r="121" spans="1:5" x14ac:dyDescent="0.2">
      <c r="A121" s="13"/>
      <c r="E121" s="13"/>
    </row>
    <row r="122" spans="1:5" x14ac:dyDescent="0.2">
      <c r="A122" s="13"/>
      <c r="E122" s="13"/>
    </row>
    <row r="123" spans="1:5" x14ac:dyDescent="0.2">
      <c r="A123" s="13"/>
      <c r="E123" s="13"/>
    </row>
    <row r="124" spans="1:5" x14ac:dyDescent="0.2">
      <c r="A124" s="13"/>
      <c r="E124" s="13"/>
    </row>
    <row r="125" spans="1:5" x14ac:dyDescent="0.2">
      <c r="A125" s="13"/>
      <c r="E125" s="13"/>
    </row>
    <row r="126" spans="1:5" x14ac:dyDescent="0.2">
      <c r="A126" s="13"/>
      <c r="E126" s="13"/>
    </row>
    <row r="127" spans="1:5" x14ac:dyDescent="0.2">
      <c r="A127" s="13"/>
      <c r="E127" s="13"/>
    </row>
    <row r="128" spans="1:5" x14ac:dyDescent="0.2">
      <c r="A128" s="13"/>
      <c r="E128" s="13"/>
    </row>
    <row r="129" spans="1:5" x14ac:dyDescent="0.2">
      <c r="A129" s="13"/>
      <c r="E129" s="13"/>
    </row>
    <row r="130" spans="1:5" x14ac:dyDescent="0.2">
      <c r="A130" s="13"/>
      <c r="E130" s="13"/>
    </row>
    <row r="131" spans="1:5" x14ac:dyDescent="0.2">
      <c r="A131" s="13"/>
      <c r="E131" s="13"/>
    </row>
    <row r="132" spans="1:5" x14ac:dyDescent="0.2">
      <c r="A132" s="13"/>
      <c r="E132" s="13"/>
    </row>
    <row r="133" spans="1:5" x14ac:dyDescent="0.2">
      <c r="A133" s="13"/>
      <c r="E133" s="13"/>
    </row>
    <row r="134" spans="1:5" x14ac:dyDescent="0.2">
      <c r="A134" s="13"/>
      <c r="E134" s="13"/>
    </row>
    <row r="135" spans="1:5" x14ac:dyDescent="0.2">
      <c r="A135" s="13"/>
      <c r="E135" s="13"/>
    </row>
    <row r="136" spans="1:5" x14ac:dyDescent="0.2">
      <c r="A136" s="13"/>
      <c r="E136" s="13"/>
    </row>
    <row r="137" spans="1:5" x14ac:dyDescent="0.2">
      <c r="A137" s="13"/>
      <c r="E137" s="13"/>
    </row>
    <row r="138" spans="1:5" x14ac:dyDescent="0.2">
      <c r="A138" s="13"/>
      <c r="E138" s="13"/>
    </row>
    <row r="139" spans="1:5" x14ac:dyDescent="0.2">
      <c r="A139" s="13"/>
      <c r="E139" s="13"/>
    </row>
    <row r="140" spans="1:5" x14ac:dyDescent="0.2">
      <c r="A140" s="13"/>
      <c r="E140" s="13"/>
    </row>
    <row r="141" spans="1:5" x14ac:dyDescent="0.2">
      <c r="A141" s="13"/>
      <c r="E141" s="13"/>
    </row>
    <row r="142" spans="1:5" x14ac:dyDescent="0.2">
      <c r="A142" s="13"/>
      <c r="E142" s="13"/>
    </row>
    <row r="143" spans="1:5" x14ac:dyDescent="0.2">
      <c r="A143" s="13"/>
      <c r="E143" s="13"/>
    </row>
    <row r="144" spans="1:5" x14ac:dyDescent="0.2">
      <c r="A144" s="13"/>
      <c r="E144" s="13"/>
    </row>
    <row r="145" spans="1:5" x14ac:dyDescent="0.2">
      <c r="A145" s="13"/>
      <c r="E145" s="13"/>
    </row>
    <row r="146" spans="1:5" x14ac:dyDescent="0.2">
      <c r="A146" s="13"/>
      <c r="E146" s="13"/>
    </row>
    <row r="147" spans="1:5" x14ac:dyDescent="0.2">
      <c r="A147" s="13"/>
      <c r="E147" s="13"/>
    </row>
    <row r="148" spans="1:5" x14ac:dyDescent="0.2">
      <c r="A148" s="13"/>
      <c r="E148" s="13"/>
    </row>
    <row r="149" spans="1:5" x14ac:dyDescent="0.2">
      <c r="A149" s="13"/>
      <c r="E149" s="13"/>
    </row>
    <row r="150" spans="1:5" x14ac:dyDescent="0.2">
      <c r="A150" s="13"/>
      <c r="E150" s="13"/>
    </row>
    <row r="151" spans="1:5" x14ac:dyDescent="0.2">
      <c r="A151" s="13"/>
      <c r="E151" s="13"/>
    </row>
    <row r="152" spans="1:5" x14ac:dyDescent="0.2">
      <c r="A152" s="13"/>
      <c r="E152" s="13"/>
    </row>
    <row r="153" spans="1:5" x14ac:dyDescent="0.2">
      <c r="A153" s="13"/>
      <c r="E153" s="13"/>
    </row>
    <row r="154" spans="1:5" x14ac:dyDescent="0.2">
      <c r="A154" s="13"/>
      <c r="E154" s="13"/>
    </row>
    <row r="155" spans="1:5" x14ac:dyDescent="0.2">
      <c r="A155" s="13"/>
      <c r="E155" s="13"/>
    </row>
    <row r="156" spans="1:5" x14ac:dyDescent="0.2">
      <c r="A156" s="13"/>
      <c r="E156" s="13"/>
    </row>
    <row r="157" spans="1:5" x14ac:dyDescent="0.2">
      <c r="A157" s="13"/>
      <c r="E157" s="13"/>
    </row>
    <row r="158" spans="1:5" x14ac:dyDescent="0.2">
      <c r="A158" s="13"/>
      <c r="E158" s="13"/>
    </row>
    <row r="159" spans="1:5" x14ac:dyDescent="0.2">
      <c r="A159" s="13"/>
      <c r="E159" s="13"/>
    </row>
    <row r="160" spans="1:5" x14ac:dyDescent="0.2">
      <c r="A160" s="13"/>
      <c r="E160" s="13"/>
    </row>
    <row r="161" spans="1:5" x14ac:dyDescent="0.2">
      <c r="A161" s="13"/>
      <c r="E161" s="13"/>
    </row>
    <row r="162" spans="1:5" x14ac:dyDescent="0.2">
      <c r="A162" s="13"/>
      <c r="E162" s="13"/>
    </row>
    <row r="163" spans="1:5" x14ac:dyDescent="0.2">
      <c r="A163" s="13"/>
      <c r="E163" s="13"/>
    </row>
    <row r="164" spans="1:5" x14ac:dyDescent="0.2">
      <c r="A164" s="13"/>
      <c r="E164" s="13"/>
    </row>
    <row r="165" spans="1:5" x14ac:dyDescent="0.2">
      <c r="A165" s="13"/>
      <c r="E165" s="13"/>
    </row>
    <row r="166" spans="1:5" x14ac:dyDescent="0.2">
      <c r="A166" s="13"/>
      <c r="E166" s="13"/>
    </row>
    <row r="167" spans="1:5" x14ac:dyDescent="0.2">
      <c r="A167" s="13"/>
      <c r="E167" s="13"/>
    </row>
    <row r="168" spans="1:5" x14ac:dyDescent="0.2">
      <c r="A168" s="13"/>
      <c r="E168" s="13"/>
    </row>
    <row r="169" spans="1:5" x14ac:dyDescent="0.2">
      <c r="A169" s="13"/>
      <c r="E169" s="13"/>
    </row>
    <row r="170" spans="1:5" x14ac:dyDescent="0.2">
      <c r="A170" s="13"/>
      <c r="E170" s="13"/>
    </row>
    <row r="171" spans="1:5" x14ac:dyDescent="0.2">
      <c r="A171" s="13"/>
      <c r="E171" s="13"/>
    </row>
    <row r="172" spans="1:5" x14ac:dyDescent="0.2">
      <c r="A172" s="13"/>
      <c r="E172" s="13"/>
    </row>
    <row r="173" spans="1:5" x14ac:dyDescent="0.2">
      <c r="A173" s="13"/>
      <c r="E173" s="13"/>
    </row>
    <row r="174" spans="1:5" x14ac:dyDescent="0.2">
      <c r="A174" s="13"/>
      <c r="E174" s="13"/>
    </row>
    <row r="175" spans="1:5" x14ac:dyDescent="0.2">
      <c r="A175" s="13"/>
      <c r="E175" s="13"/>
    </row>
    <row r="176" spans="1:5" x14ac:dyDescent="0.2">
      <c r="A176" s="13"/>
      <c r="E176" s="13"/>
    </row>
    <row r="177" spans="1:5" x14ac:dyDescent="0.2">
      <c r="A177" s="13"/>
      <c r="E177" s="13"/>
    </row>
    <row r="178" spans="1:5" x14ac:dyDescent="0.2">
      <c r="A178" s="13"/>
      <c r="E178" s="13"/>
    </row>
    <row r="179" spans="1:5" x14ac:dyDescent="0.2">
      <c r="A179" s="13"/>
      <c r="E179" s="13"/>
    </row>
    <row r="180" spans="1:5" x14ac:dyDescent="0.2">
      <c r="A180" s="13"/>
      <c r="E180" s="13"/>
    </row>
    <row r="181" spans="1:5" x14ac:dyDescent="0.2">
      <c r="A181" s="13"/>
      <c r="E181" s="13"/>
    </row>
    <row r="182" spans="1:5" x14ac:dyDescent="0.2">
      <c r="A182" s="13"/>
      <c r="E182" s="13"/>
    </row>
    <row r="183" spans="1:5" x14ac:dyDescent="0.2">
      <c r="A183" s="13"/>
      <c r="E183" s="13"/>
    </row>
    <row r="184" spans="1:5" x14ac:dyDescent="0.2">
      <c r="A184" s="13"/>
      <c r="E184" s="13"/>
    </row>
    <row r="185" spans="1:5" x14ac:dyDescent="0.2">
      <c r="A185" s="13"/>
      <c r="E185" s="13"/>
    </row>
    <row r="186" spans="1:5" x14ac:dyDescent="0.2">
      <c r="A186" s="13"/>
      <c r="C186" s="2"/>
      <c r="E186" s="13"/>
    </row>
    <row r="187" spans="1:5" x14ac:dyDescent="0.2">
      <c r="A187" s="13"/>
      <c r="E187" s="13"/>
    </row>
    <row r="188" spans="1:5" x14ac:dyDescent="0.2">
      <c r="A188" s="13"/>
      <c r="E188" s="13"/>
    </row>
    <row r="189" spans="1:5" x14ac:dyDescent="0.2">
      <c r="A189" s="13"/>
      <c r="E189" s="13"/>
    </row>
    <row r="190" spans="1:5" x14ac:dyDescent="0.2">
      <c r="A190" s="13"/>
      <c r="E190" s="13"/>
    </row>
    <row r="191" spans="1:5" x14ac:dyDescent="0.2">
      <c r="A191" s="13"/>
      <c r="E191" s="13"/>
    </row>
    <row r="192" spans="1:5" x14ac:dyDescent="0.2">
      <c r="A192" s="13"/>
      <c r="E192" s="13"/>
    </row>
    <row r="193" spans="1:5" x14ac:dyDescent="0.2">
      <c r="A193" s="13"/>
      <c r="E193" s="13"/>
    </row>
    <row r="194" spans="1:5" x14ac:dyDescent="0.2">
      <c r="A194" s="13"/>
      <c r="E194" s="13"/>
    </row>
    <row r="195" spans="1:5" x14ac:dyDescent="0.2">
      <c r="A195" s="13"/>
      <c r="E195" s="13"/>
    </row>
    <row r="196" spans="1:5" x14ac:dyDescent="0.2">
      <c r="A196" s="13"/>
      <c r="E196" s="13"/>
    </row>
    <row r="197" spans="1:5" x14ac:dyDescent="0.2">
      <c r="A197" s="13"/>
      <c r="E197" s="13"/>
    </row>
    <row r="198" spans="1:5" x14ac:dyDescent="0.2">
      <c r="A198" s="13"/>
      <c r="E198" s="13"/>
    </row>
    <row r="199" spans="1:5" x14ac:dyDescent="0.2">
      <c r="A199" s="13"/>
      <c r="E199" s="13"/>
    </row>
    <row r="200" spans="1:5" x14ac:dyDescent="0.2">
      <c r="A200" s="13"/>
      <c r="E200" s="13"/>
    </row>
    <row r="201" spans="1:5" x14ac:dyDescent="0.2">
      <c r="A201" s="13"/>
      <c r="E201" s="13"/>
    </row>
    <row r="202" spans="1:5" x14ac:dyDescent="0.2">
      <c r="A202" s="13"/>
      <c r="E202" s="13"/>
    </row>
    <row r="203" spans="1:5" x14ac:dyDescent="0.2">
      <c r="A203" s="13"/>
      <c r="E203" s="13"/>
    </row>
    <row r="204" spans="1:5" x14ac:dyDescent="0.2">
      <c r="A204" s="13"/>
      <c r="E204" s="13"/>
    </row>
    <row r="205" spans="1:5" x14ac:dyDescent="0.2">
      <c r="A205" s="13"/>
      <c r="E205" s="13"/>
    </row>
    <row r="206" spans="1:5" x14ac:dyDescent="0.2">
      <c r="A206" s="13"/>
      <c r="E206" s="13"/>
    </row>
    <row r="207" spans="1:5" x14ac:dyDescent="0.2">
      <c r="A207" s="13"/>
      <c r="E207" s="13"/>
    </row>
    <row r="208" spans="1:5" x14ac:dyDescent="0.2">
      <c r="A208" s="13"/>
      <c r="E208" s="13"/>
    </row>
    <row r="209" spans="1:5" x14ac:dyDescent="0.2">
      <c r="A209" s="13"/>
      <c r="E209" s="13"/>
    </row>
    <row r="210" spans="1:5" x14ac:dyDescent="0.2">
      <c r="A210" s="13"/>
      <c r="E210" s="13"/>
    </row>
    <row r="211" spans="1:5" x14ac:dyDescent="0.2">
      <c r="A211" s="13"/>
      <c r="E211" s="13"/>
    </row>
    <row r="212" spans="1:5" x14ac:dyDescent="0.2">
      <c r="A212" s="13"/>
      <c r="E212" s="13"/>
    </row>
    <row r="213" spans="1:5" x14ac:dyDescent="0.2">
      <c r="A213" s="13"/>
      <c r="E213" s="13"/>
    </row>
    <row r="214" spans="1:5" x14ac:dyDescent="0.2">
      <c r="A214" s="13"/>
      <c r="E214" s="13"/>
    </row>
    <row r="215" spans="1:5" x14ac:dyDescent="0.2">
      <c r="A215" s="13"/>
      <c r="E215" s="13"/>
    </row>
    <row r="216" spans="1:5" x14ac:dyDescent="0.2">
      <c r="A216" s="13"/>
      <c r="E216" s="13"/>
    </row>
    <row r="217" spans="1:5" x14ac:dyDescent="0.2">
      <c r="A217" s="13"/>
      <c r="E217" s="13"/>
    </row>
    <row r="218" spans="1:5" x14ac:dyDescent="0.2">
      <c r="A218" s="13"/>
      <c r="E218" s="13"/>
    </row>
    <row r="219" spans="1:5" x14ac:dyDescent="0.2">
      <c r="A219" s="13"/>
      <c r="E219" s="13"/>
    </row>
    <row r="220" spans="1:5" x14ac:dyDescent="0.2">
      <c r="A220" s="13"/>
      <c r="E220" s="13"/>
    </row>
    <row r="221" spans="1:5" x14ac:dyDescent="0.2">
      <c r="A221" s="13"/>
      <c r="E221" s="13"/>
    </row>
    <row r="222" spans="1:5" x14ac:dyDescent="0.2">
      <c r="A222" s="13"/>
      <c r="E222" s="13"/>
    </row>
    <row r="223" spans="1:5" x14ac:dyDescent="0.2">
      <c r="A223" s="13"/>
      <c r="E223" s="13"/>
    </row>
    <row r="224" spans="1:5" x14ac:dyDescent="0.2">
      <c r="A224" s="13"/>
      <c r="E224" s="13"/>
    </row>
    <row r="225" spans="1:5" x14ac:dyDescent="0.2">
      <c r="A225" s="13"/>
      <c r="E225" s="13"/>
    </row>
    <row r="226" spans="1:5" x14ac:dyDescent="0.2">
      <c r="A226" s="13"/>
      <c r="E226" s="13"/>
    </row>
    <row r="227" spans="1:5" x14ac:dyDescent="0.2">
      <c r="A227" s="13"/>
      <c r="E227" s="13"/>
    </row>
    <row r="228" spans="1:5" x14ac:dyDescent="0.2">
      <c r="A228" s="13"/>
      <c r="E228" s="13"/>
    </row>
    <row r="229" spans="1:5" x14ac:dyDescent="0.2">
      <c r="A229" s="13"/>
      <c r="E229" s="13"/>
    </row>
    <row r="230" spans="1:5" x14ac:dyDescent="0.2">
      <c r="A230" s="13"/>
      <c r="E230" s="13"/>
    </row>
    <row r="231" spans="1:5" x14ac:dyDescent="0.2">
      <c r="A231" s="13"/>
      <c r="E231" s="13"/>
    </row>
    <row r="232" spans="1:5" x14ac:dyDescent="0.2">
      <c r="A232" s="13"/>
      <c r="E232" s="13"/>
    </row>
    <row r="233" spans="1:5" x14ac:dyDescent="0.2">
      <c r="A233" s="13"/>
      <c r="E233" s="13"/>
    </row>
    <row r="234" spans="1:5" x14ac:dyDescent="0.2">
      <c r="A234" s="13"/>
      <c r="E234" s="13"/>
    </row>
    <row r="235" spans="1:5" x14ac:dyDescent="0.2">
      <c r="A235" s="13"/>
      <c r="E235" s="13"/>
    </row>
    <row r="236" spans="1:5" x14ac:dyDescent="0.2">
      <c r="A236" s="13"/>
      <c r="E236" s="13"/>
    </row>
    <row r="237" spans="1:5" x14ac:dyDescent="0.2">
      <c r="A237" s="13"/>
      <c r="E237" s="13"/>
    </row>
    <row r="238" spans="1:5" x14ac:dyDescent="0.2">
      <c r="A238" s="13"/>
      <c r="E238" s="13"/>
    </row>
    <row r="239" spans="1:5" x14ac:dyDescent="0.2">
      <c r="A239" s="13"/>
      <c r="E239" s="13"/>
    </row>
    <row r="240" spans="1:5" x14ac:dyDescent="0.2">
      <c r="A240" s="13"/>
      <c r="E240" s="13"/>
    </row>
    <row r="241" spans="1:5" x14ac:dyDescent="0.2">
      <c r="A241" s="13"/>
      <c r="E241" s="13"/>
    </row>
    <row r="242" spans="1:5" x14ac:dyDescent="0.2">
      <c r="A242" s="13"/>
      <c r="E242" s="13"/>
    </row>
    <row r="243" spans="1:5" x14ac:dyDescent="0.2">
      <c r="A243" s="13"/>
      <c r="E243" s="13"/>
    </row>
    <row r="244" spans="1:5" x14ac:dyDescent="0.2">
      <c r="A244" s="13"/>
      <c r="E244" s="13"/>
    </row>
    <row r="245" spans="1:5" x14ac:dyDescent="0.2">
      <c r="A245" s="13"/>
      <c r="E245" s="13"/>
    </row>
    <row r="246" spans="1:5" x14ac:dyDescent="0.2">
      <c r="A246" s="13"/>
      <c r="E246" s="13"/>
    </row>
    <row r="247" spans="1:5" x14ac:dyDescent="0.2">
      <c r="A247" s="13"/>
      <c r="E247" s="13"/>
    </row>
    <row r="248" spans="1:5" x14ac:dyDescent="0.2">
      <c r="A248" s="13"/>
      <c r="E248" s="13"/>
    </row>
    <row r="249" spans="1:5" x14ac:dyDescent="0.2">
      <c r="A249" s="13"/>
      <c r="E249" s="13"/>
    </row>
    <row r="250" spans="1:5" x14ac:dyDescent="0.2">
      <c r="A250" s="13"/>
      <c r="E250" s="13"/>
    </row>
    <row r="251" spans="1:5" x14ac:dyDescent="0.2">
      <c r="A251" s="13"/>
      <c r="E251" s="13"/>
    </row>
    <row r="252" spans="1:5" x14ac:dyDescent="0.2">
      <c r="A252" s="13"/>
      <c r="E252" s="13"/>
    </row>
    <row r="253" spans="1:5" x14ac:dyDescent="0.2">
      <c r="A253" s="13"/>
      <c r="E253" s="13"/>
    </row>
    <row r="254" spans="1:5" x14ac:dyDescent="0.2">
      <c r="A254" s="13"/>
      <c r="E254" s="13"/>
    </row>
    <row r="255" spans="1:5" x14ac:dyDescent="0.2">
      <c r="A255" s="13"/>
      <c r="E255" s="13"/>
    </row>
    <row r="256" spans="1:5" x14ac:dyDescent="0.2">
      <c r="A256" s="13"/>
      <c r="E256" s="13"/>
    </row>
    <row r="257" spans="1:5" x14ac:dyDescent="0.2">
      <c r="A257" s="13"/>
      <c r="E257" s="13"/>
    </row>
    <row r="258" spans="1:5" x14ac:dyDescent="0.2">
      <c r="A258" s="13"/>
      <c r="E258" s="13"/>
    </row>
    <row r="259" spans="1:5" x14ac:dyDescent="0.2">
      <c r="A259" s="13"/>
      <c r="E259" s="13"/>
    </row>
    <row r="260" spans="1:5" x14ac:dyDescent="0.2">
      <c r="A260" s="13"/>
      <c r="E260" s="13"/>
    </row>
    <row r="261" spans="1:5" x14ac:dyDescent="0.2">
      <c r="A261" s="13"/>
      <c r="E261" s="13"/>
    </row>
    <row r="262" spans="1:5" x14ac:dyDescent="0.2">
      <c r="A262" s="13"/>
      <c r="E262" s="13"/>
    </row>
    <row r="263" spans="1:5" x14ac:dyDescent="0.2">
      <c r="A263" s="13"/>
      <c r="E263" s="13"/>
    </row>
    <row r="264" spans="1:5" x14ac:dyDescent="0.2">
      <c r="A264" s="13"/>
      <c r="E264" s="13"/>
    </row>
    <row r="265" spans="1:5" x14ac:dyDescent="0.2">
      <c r="A265" s="13"/>
      <c r="E265" s="13"/>
    </row>
    <row r="266" spans="1:5" x14ac:dyDescent="0.2">
      <c r="A266" s="13"/>
      <c r="E266" s="13"/>
    </row>
    <row r="267" spans="1:5" x14ac:dyDescent="0.2">
      <c r="A267" s="13"/>
      <c r="E267" s="13"/>
    </row>
    <row r="268" spans="1:5" x14ac:dyDescent="0.2">
      <c r="A268" s="13"/>
      <c r="E268" s="13"/>
    </row>
    <row r="269" spans="1:5" x14ac:dyDescent="0.2">
      <c r="A269" s="13"/>
      <c r="E269" s="13"/>
    </row>
    <row r="270" spans="1:5" x14ac:dyDescent="0.2">
      <c r="A270" s="13"/>
      <c r="E270" s="13"/>
    </row>
    <row r="271" spans="1:5" x14ac:dyDescent="0.2">
      <c r="A271" s="13"/>
      <c r="E271" s="13"/>
    </row>
    <row r="272" spans="1:5" x14ac:dyDescent="0.2">
      <c r="A272" s="13"/>
      <c r="E272" s="13"/>
    </row>
    <row r="273" spans="1:5" x14ac:dyDescent="0.2">
      <c r="A273" s="13"/>
      <c r="E273" s="13"/>
    </row>
    <row r="274" spans="1:5" x14ac:dyDescent="0.2">
      <c r="A274" s="13"/>
      <c r="E274" s="13"/>
    </row>
    <row r="275" spans="1:5" x14ac:dyDescent="0.2">
      <c r="A275" s="13"/>
      <c r="E275" s="13"/>
    </row>
    <row r="276" spans="1:5" x14ac:dyDescent="0.2">
      <c r="A276" s="13"/>
      <c r="E276" s="13"/>
    </row>
    <row r="277" spans="1:5" x14ac:dyDescent="0.2">
      <c r="A277" s="13"/>
      <c r="E277" s="13"/>
    </row>
    <row r="278" spans="1:5" x14ac:dyDescent="0.2">
      <c r="A278" s="13"/>
      <c r="E278" s="13"/>
    </row>
    <row r="279" spans="1:5" x14ac:dyDescent="0.2">
      <c r="A279" s="13"/>
      <c r="E279" s="13"/>
    </row>
    <row r="280" spans="1:5" x14ac:dyDescent="0.2">
      <c r="A280" s="13"/>
      <c r="E280" s="13"/>
    </row>
    <row r="281" spans="1:5" x14ac:dyDescent="0.2">
      <c r="A281" s="13"/>
      <c r="E281" s="13"/>
    </row>
    <row r="282" spans="1:5" x14ac:dyDescent="0.2">
      <c r="A282" s="13"/>
      <c r="E282" s="13"/>
    </row>
    <row r="283" spans="1:5" x14ac:dyDescent="0.2">
      <c r="A283" s="13"/>
      <c r="E283" s="13"/>
    </row>
    <row r="284" spans="1:5" x14ac:dyDescent="0.2">
      <c r="A284" s="13"/>
      <c r="E284" s="13"/>
    </row>
    <row r="285" spans="1:5" x14ac:dyDescent="0.2">
      <c r="A285" s="13"/>
      <c r="E285" s="13"/>
    </row>
    <row r="286" spans="1:5" x14ac:dyDescent="0.2">
      <c r="A286" s="13"/>
      <c r="E286" s="13"/>
    </row>
    <row r="287" spans="1:5" x14ac:dyDescent="0.2">
      <c r="A287" s="13"/>
      <c r="E287" s="13"/>
    </row>
    <row r="288" spans="1:5" x14ac:dyDescent="0.2">
      <c r="A288" s="13"/>
      <c r="E288" s="13"/>
    </row>
    <row r="289" spans="1:5" x14ac:dyDescent="0.2">
      <c r="A289" s="13"/>
      <c r="E289" s="13"/>
    </row>
    <row r="290" spans="1:5" x14ac:dyDescent="0.2">
      <c r="A290" s="13"/>
      <c r="E290" s="13"/>
    </row>
    <row r="291" spans="1:5" x14ac:dyDescent="0.2">
      <c r="A291" s="13"/>
      <c r="E291" s="13"/>
    </row>
    <row r="292" spans="1:5" x14ac:dyDescent="0.2">
      <c r="A292" s="13"/>
      <c r="E292" s="13"/>
    </row>
    <row r="293" spans="1:5" x14ac:dyDescent="0.2">
      <c r="A293" s="13"/>
      <c r="E293" s="13"/>
    </row>
    <row r="294" spans="1:5" x14ac:dyDescent="0.2">
      <c r="A294" s="13"/>
      <c r="E294" s="13"/>
    </row>
    <row r="295" spans="1:5" x14ac:dyDescent="0.2">
      <c r="A295" s="13"/>
      <c r="E295" s="13"/>
    </row>
    <row r="296" spans="1:5" x14ac:dyDescent="0.2">
      <c r="A296" s="13"/>
      <c r="E296" s="13"/>
    </row>
    <row r="297" spans="1:5" x14ac:dyDescent="0.2">
      <c r="A297" s="13"/>
      <c r="E297" s="13"/>
    </row>
    <row r="298" spans="1:5" x14ac:dyDescent="0.2">
      <c r="A298" s="13"/>
      <c r="E298" s="13"/>
    </row>
    <row r="299" spans="1:5" x14ac:dyDescent="0.2">
      <c r="A299" s="13"/>
      <c r="E299" s="13"/>
    </row>
    <row r="300" spans="1:5" x14ac:dyDescent="0.2">
      <c r="A300" s="13"/>
      <c r="E300" s="13"/>
    </row>
    <row r="301" spans="1:5" x14ac:dyDescent="0.2">
      <c r="A301" s="13"/>
      <c r="E301" s="13"/>
    </row>
    <row r="302" spans="1:5" x14ac:dyDescent="0.2">
      <c r="A302" s="13"/>
      <c r="E302" s="13"/>
    </row>
    <row r="303" spans="1:5" x14ac:dyDescent="0.2">
      <c r="A303" s="13"/>
      <c r="E303" s="13"/>
    </row>
    <row r="304" spans="1:5" x14ac:dyDescent="0.2">
      <c r="A304" s="13"/>
      <c r="E304" s="13"/>
    </row>
    <row r="305" spans="1:5" x14ac:dyDescent="0.2">
      <c r="A305" s="13"/>
      <c r="E305" s="13"/>
    </row>
    <row r="306" spans="1:5" x14ac:dyDescent="0.2">
      <c r="A306" s="13"/>
      <c r="E306" s="13"/>
    </row>
    <row r="307" spans="1:5" x14ac:dyDescent="0.2">
      <c r="A307" s="13"/>
      <c r="E307" s="13"/>
    </row>
    <row r="308" spans="1:5" x14ac:dyDescent="0.2">
      <c r="A308" s="13"/>
      <c r="E308" s="13"/>
    </row>
    <row r="309" spans="1:5" x14ac:dyDescent="0.2">
      <c r="A309" s="13"/>
      <c r="E309" s="13"/>
    </row>
    <row r="310" spans="1:5" x14ac:dyDescent="0.2">
      <c r="A310" s="13"/>
      <c r="E310" s="13"/>
    </row>
    <row r="311" spans="1:5" x14ac:dyDescent="0.2">
      <c r="A311" s="13"/>
      <c r="E311" s="13"/>
    </row>
    <row r="312" spans="1:5" x14ac:dyDescent="0.2">
      <c r="A312" s="13"/>
      <c r="E312" s="13"/>
    </row>
    <row r="313" spans="1:5" x14ac:dyDescent="0.2">
      <c r="A313" s="13"/>
      <c r="E313" s="13"/>
    </row>
    <row r="314" spans="1:5" x14ac:dyDescent="0.2">
      <c r="A314" s="13"/>
      <c r="E314" s="13"/>
    </row>
    <row r="315" spans="1:5" x14ac:dyDescent="0.2">
      <c r="A315" s="13"/>
      <c r="E315" s="13"/>
    </row>
    <row r="316" spans="1:5" x14ac:dyDescent="0.2">
      <c r="A316" s="13"/>
      <c r="E316" s="13"/>
    </row>
    <row r="317" spans="1:5" x14ac:dyDescent="0.2">
      <c r="A317" s="13"/>
      <c r="E317" s="13"/>
    </row>
    <row r="318" spans="1:5" x14ac:dyDescent="0.2">
      <c r="A318" s="13"/>
      <c r="E318" s="13"/>
    </row>
    <row r="319" spans="1:5" x14ac:dyDescent="0.2">
      <c r="A319" s="13"/>
      <c r="E319" s="13"/>
    </row>
    <row r="320" spans="1:5" x14ac:dyDescent="0.2">
      <c r="A320" s="13"/>
      <c r="E320" s="13"/>
    </row>
    <row r="321" spans="1:5" x14ac:dyDescent="0.2">
      <c r="A321" s="13"/>
      <c r="E321" s="13"/>
    </row>
    <row r="322" spans="1:5" x14ac:dyDescent="0.2">
      <c r="A322" s="13"/>
      <c r="E322" s="13"/>
    </row>
    <row r="323" spans="1:5" x14ac:dyDescent="0.2">
      <c r="A323" s="13"/>
      <c r="E323" s="13"/>
    </row>
    <row r="324" spans="1:5" x14ac:dyDescent="0.2">
      <c r="A324" s="13"/>
      <c r="E324" s="13"/>
    </row>
    <row r="325" spans="1:5" x14ac:dyDescent="0.2">
      <c r="A325" s="13"/>
      <c r="E325" s="13"/>
    </row>
    <row r="326" spans="1:5" x14ac:dyDescent="0.2">
      <c r="A326" s="13"/>
      <c r="E326" s="13"/>
    </row>
    <row r="327" spans="1:5" x14ac:dyDescent="0.2">
      <c r="A327" s="13"/>
      <c r="E327" s="13"/>
    </row>
    <row r="328" spans="1:5" x14ac:dyDescent="0.2">
      <c r="A328" s="13"/>
      <c r="E328" s="13"/>
    </row>
    <row r="329" spans="1:5" x14ac:dyDescent="0.2">
      <c r="A329" s="13"/>
      <c r="E329" s="13"/>
    </row>
    <row r="330" spans="1:5" x14ac:dyDescent="0.2">
      <c r="A330" s="13"/>
      <c r="E330" s="13"/>
    </row>
    <row r="331" spans="1:5" x14ac:dyDescent="0.2">
      <c r="A331" s="13"/>
      <c r="E331" s="13"/>
    </row>
    <row r="332" spans="1:5" x14ac:dyDescent="0.2">
      <c r="A332" s="13"/>
      <c r="E332" s="13"/>
    </row>
    <row r="333" spans="1:5" x14ac:dyDescent="0.2">
      <c r="A333" s="13"/>
      <c r="E333" s="13"/>
    </row>
    <row r="334" spans="1:5" x14ac:dyDescent="0.2">
      <c r="A334" s="13"/>
      <c r="E334" s="13"/>
    </row>
    <row r="335" spans="1:5" x14ac:dyDescent="0.2">
      <c r="A335" s="13"/>
      <c r="E335" s="13"/>
    </row>
    <row r="336" spans="1:5" x14ac:dyDescent="0.2">
      <c r="A336" s="13"/>
      <c r="E336" s="13"/>
    </row>
    <row r="337" spans="1:5" x14ac:dyDescent="0.2">
      <c r="A337" s="13"/>
      <c r="E337" s="13"/>
    </row>
    <row r="338" spans="1:5" x14ac:dyDescent="0.2">
      <c r="A338" s="13"/>
      <c r="E338" s="13"/>
    </row>
    <row r="339" spans="1:5" x14ac:dyDescent="0.2">
      <c r="A339" s="13"/>
      <c r="E339" s="13"/>
    </row>
    <row r="340" spans="1:5" x14ac:dyDescent="0.2">
      <c r="A340" s="13"/>
      <c r="E340" s="13"/>
    </row>
    <row r="341" spans="1:5" x14ac:dyDescent="0.2">
      <c r="A341" s="13"/>
      <c r="E341" s="13"/>
    </row>
    <row r="342" spans="1:5" x14ac:dyDescent="0.2">
      <c r="A342" s="13"/>
      <c r="E342" s="13"/>
    </row>
    <row r="343" spans="1:5" x14ac:dyDescent="0.2">
      <c r="A343" s="13"/>
      <c r="E343" s="13"/>
    </row>
    <row r="344" spans="1:5" x14ac:dyDescent="0.2">
      <c r="A344" s="13"/>
      <c r="E344" s="13"/>
    </row>
    <row r="345" spans="1:5" x14ac:dyDescent="0.2">
      <c r="A345" s="13"/>
      <c r="E345" s="13"/>
    </row>
    <row r="346" spans="1:5" x14ac:dyDescent="0.2">
      <c r="A346" s="13"/>
      <c r="E346" s="13"/>
    </row>
    <row r="347" spans="1:5" x14ac:dyDescent="0.2">
      <c r="A347" s="13"/>
      <c r="E347" s="13"/>
    </row>
    <row r="348" spans="1:5" x14ac:dyDescent="0.2">
      <c r="A348" s="13"/>
      <c r="E348" s="13"/>
    </row>
    <row r="349" spans="1:5" x14ac:dyDescent="0.2">
      <c r="A349" s="13"/>
      <c r="E349" s="13"/>
    </row>
    <row r="350" spans="1:5" x14ac:dyDescent="0.2">
      <c r="A350" s="13"/>
      <c r="E350" s="13"/>
    </row>
    <row r="351" spans="1:5" x14ac:dyDescent="0.2">
      <c r="A351" s="13"/>
      <c r="E351" s="13"/>
    </row>
    <row r="352" spans="1:5" x14ac:dyDescent="0.2">
      <c r="A352" s="13"/>
      <c r="E352" s="13"/>
    </row>
    <row r="353" spans="1:5" x14ac:dyDescent="0.2">
      <c r="A353" s="13"/>
      <c r="E353" s="13"/>
    </row>
    <row r="354" spans="1:5" x14ac:dyDescent="0.2">
      <c r="A354" s="13"/>
      <c r="E354" s="13"/>
    </row>
    <row r="355" spans="1:5" x14ac:dyDescent="0.2">
      <c r="A355" s="13"/>
      <c r="E355" s="13"/>
    </row>
    <row r="356" spans="1:5" x14ac:dyDescent="0.2">
      <c r="A356" s="13"/>
      <c r="E356" s="13"/>
    </row>
    <row r="357" spans="1:5" x14ac:dyDescent="0.2">
      <c r="A357" s="13"/>
      <c r="E357" s="13"/>
    </row>
    <row r="358" spans="1:5" x14ac:dyDescent="0.2">
      <c r="A358" s="13"/>
      <c r="E358" s="13"/>
    </row>
    <row r="359" spans="1:5" x14ac:dyDescent="0.2">
      <c r="A359" s="13"/>
      <c r="E359" s="13"/>
    </row>
    <row r="360" spans="1:5" x14ac:dyDescent="0.2">
      <c r="A360" s="13"/>
      <c r="E360" s="13"/>
    </row>
    <row r="361" spans="1:5" x14ac:dyDescent="0.2">
      <c r="A361" s="13"/>
      <c r="E361" s="13"/>
    </row>
    <row r="362" spans="1:5" x14ac:dyDescent="0.2">
      <c r="A362" s="13"/>
      <c r="E362" s="13"/>
    </row>
    <row r="363" spans="1:5" x14ac:dyDescent="0.2">
      <c r="A363" s="13"/>
      <c r="E363" s="13"/>
    </row>
    <row r="364" spans="1:5" x14ac:dyDescent="0.2">
      <c r="A364" s="13"/>
      <c r="E364" s="13"/>
    </row>
    <row r="365" spans="1:5" x14ac:dyDescent="0.2">
      <c r="A365" s="13"/>
      <c r="E365" s="13"/>
    </row>
  </sheetData>
  <pageMargins left="0.7" right="0.7" top="0.75" bottom="0.75" header="0.3" footer="0.3"/>
  <pageSetup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4FFA1-5A74-DA41-A446-50F8980A5942}">
  <dimension ref="A1:F31"/>
  <sheetViews>
    <sheetView workbookViewId="0">
      <selection activeCell="B11" sqref="B11"/>
    </sheetView>
  </sheetViews>
  <sheetFormatPr baseColWidth="10" defaultColWidth="11" defaultRowHeight="16" x14ac:dyDescent="0.2"/>
  <cols>
    <col min="1" max="1" width="54.1640625" customWidth="1"/>
    <col min="2" max="2" width="35.1640625" customWidth="1"/>
    <col min="3" max="4" width="12.1640625" customWidth="1"/>
    <col min="5" max="5" width="85.83203125" customWidth="1"/>
    <col min="6" max="6" width="56.6640625" customWidth="1"/>
  </cols>
  <sheetData>
    <row r="1" spans="1:6" x14ac:dyDescent="0.2">
      <c r="A1" s="25" t="s">
        <v>303</v>
      </c>
      <c r="B1" s="31" t="s">
        <v>304</v>
      </c>
      <c r="C1" s="26" t="s">
        <v>305</v>
      </c>
      <c r="D1" s="34" t="s">
        <v>306</v>
      </c>
      <c r="E1" s="33" t="s">
        <v>4</v>
      </c>
      <c r="F1" s="33" t="s">
        <v>307</v>
      </c>
    </row>
    <row r="2" spans="1:6" x14ac:dyDescent="0.2">
      <c r="A2" t="s">
        <v>308</v>
      </c>
      <c r="B2" t="s">
        <v>309</v>
      </c>
      <c r="C2">
        <v>1</v>
      </c>
      <c r="D2">
        <v>8</v>
      </c>
    </row>
    <row r="3" spans="1:6" x14ac:dyDescent="0.2">
      <c r="A3" t="s">
        <v>310</v>
      </c>
      <c r="B3" t="s">
        <v>309</v>
      </c>
      <c r="C3">
        <v>2</v>
      </c>
      <c r="D3">
        <v>4</v>
      </c>
    </row>
    <row r="4" spans="1:6" x14ac:dyDescent="0.2">
      <c r="A4" s="13" t="s">
        <v>311</v>
      </c>
      <c r="B4" s="13" t="s">
        <v>309</v>
      </c>
      <c r="C4" s="13">
        <v>3</v>
      </c>
      <c r="D4" s="13">
        <v>2</v>
      </c>
    </row>
    <row r="5" spans="1:6" x14ac:dyDescent="0.2">
      <c r="A5" t="s">
        <v>312</v>
      </c>
      <c r="B5" t="s">
        <v>313</v>
      </c>
      <c r="C5">
        <v>4</v>
      </c>
      <c r="D5">
        <v>13</v>
      </c>
    </row>
    <row r="6" spans="1:6" x14ac:dyDescent="0.2">
      <c r="A6" t="s">
        <v>314</v>
      </c>
      <c r="B6" s="32" t="s">
        <v>313</v>
      </c>
      <c r="C6">
        <v>5</v>
      </c>
      <c r="D6">
        <v>7</v>
      </c>
      <c r="F6" s="10"/>
    </row>
    <row r="7" spans="1:6" ht="17" x14ac:dyDescent="0.2">
      <c r="A7" s="27" t="s">
        <v>315</v>
      </c>
      <c r="B7" s="32" t="s">
        <v>316</v>
      </c>
      <c r="C7">
        <v>6</v>
      </c>
      <c r="D7">
        <v>5</v>
      </c>
    </row>
    <row r="8" spans="1:6" x14ac:dyDescent="0.2">
      <c r="A8" t="s">
        <v>317</v>
      </c>
      <c r="B8" t="s">
        <v>318</v>
      </c>
      <c r="C8">
        <v>7</v>
      </c>
      <c r="D8">
        <v>1</v>
      </c>
    </row>
    <row r="9" spans="1:6" x14ac:dyDescent="0.2">
      <c r="A9" t="s">
        <v>311</v>
      </c>
      <c r="B9" s="13" t="s">
        <v>318</v>
      </c>
      <c r="C9">
        <v>8</v>
      </c>
      <c r="D9">
        <v>4</v>
      </c>
    </row>
    <row r="10" spans="1:6" x14ac:dyDescent="0.2">
      <c r="A10" t="s">
        <v>319</v>
      </c>
      <c r="B10" t="s">
        <v>320</v>
      </c>
      <c r="C10">
        <v>9</v>
      </c>
      <c r="D10">
        <v>17</v>
      </c>
    </row>
    <row r="11" spans="1:6" x14ac:dyDescent="0.2">
      <c r="A11" t="s">
        <v>321</v>
      </c>
      <c r="B11" s="32" t="s">
        <v>322</v>
      </c>
      <c r="C11">
        <v>10</v>
      </c>
      <c r="D11">
        <v>10</v>
      </c>
    </row>
    <row r="12" spans="1:6" x14ac:dyDescent="0.2">
      <c r="A12" t="s">
        <v>323</v>
      </c>
      <c r="B12" s="32" t="s">
        <v>324</v>
      </c>
      <c r="C12">
        <v>11</v>
      </c>
      <c r="D12">
        <v>7</v>
      </c>
    </row>
    <row r="13" spans="1:6" x14ac:dyDescent="0.2">
      <c r="A13" t="s">
        <v>537</v>
      </c>
      <c r="B13" t="s">
        <v>326</v>
      </c>
      <c r="C13">
        <v>12</v>
      </c>
      <c r="D13">
        <v>1</v>
      </c>
    </row>
    <row r="14" spans="1:6" x14ac:dyDescent="0.2">
      <c r="A14" t="s">
        <v>325</v>
      </c>
      <c r="B14" t="s">
        <v>326</v>
      </c>
      <c r="C14">
        <v>13</v>
      </c>
      <c r="D14">
        <v>1</v>
      </c>
    </row>
    <row r="15" spans="1:6" x14ac:dyDescent="0.2">
      <c r="A15" t="s">
        <v>327</v>
      </c>
      <c r="B15" t="s">
        <v>154</v>
      </c>
      <c r="C15">
        <v>14</v>
      </c>
      <c r="D15">
        <v>20</v>
      </c>
    </row>
    <row r="16" spans="1:6" x14ac:dyDescent="0.2">
      <c r="A16" t="s">
        <v>539</v>
      </c>
      <c r="B16" t="s">
        <v>540</v>
      </c>
      <c r="C16">
        <v>15</v>
      </c>
      <c r="D16">
        <v>1</v>
      </c>
    </row>
    <row r="19" spans="1:4" x14ac:dyDescent="0.2">
      <c r="A19" s="13"/>
      <c r="B19" s="13"/>
      <c r="C19" s="13"/>
      <c r="D19" s="13"/>
    </row>
    <row r="21" spans="1:4" x14ac:dyDescent="0.2">
      <c r="B21" s="32"/>
    </row>
    <row r="22" spans="1:4" x14ac:dyDescent="0.2">
      <c r="A22" s="27"/>
      <c r="B22" s="32"/>
    </row>
    <row r="24" spans="1:4" x14ac:dyDescent="0.2">
      <c r="B24" s="13"/>
    </row>
    <row r="26" spans="1:4" x14ac:dyDescent="0.2">
      <c r="B26" s="32"/>
    </row>
    <row r="27" spans="1:4" x14ac:dyDescent="0.2">
      <c r="B27" s="32"/>
    </row>
    <row r="31" spans="1:4" x14ac:dyDescent="0.2">
      <c r="B31" s="13"/>
    </row>
  </sheetData>
  <sortState xmlns:xlrd2="http://schemas.microsoft.com/office/spreadsheetml/2017/richdata2" ref="A2:D14">
    <sortCondition ref="C2:C14"/>
  </sortState>
  <phoneticPr fontId="8" type="noConversion"/>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36C99-1A30-2141-90A1-5E9DA6099FCD}">
  <dimension ref="A1:V222"/>
  <sheetViews>
    <sheetView zoomScale="36" zoomScaleNormal="150" workbookViewId="0">
      <selection activeCell="L69" sqref="L69"/>
    </sheetView>
  </sheetViews>
  <sheetFormatPr baseColWidth="10" defaultColWidth="11" defaultRowHeight="16" x14ac:dyDescent="0.2"/>
  <cols>
    <col min="1" max="1" width="17.83203125" customWidth="1"/>
    <col min="2" max="2" width="24.1640625" customWidth="1"/>
    <col min="3" max="3" width="16.6640625" customWidth="1"/>
    <col min="4" max="4" width="22.6640625" style="2" customWidth="1"/>
    <col min="5" max="5" width="18" customWidth="1"/>
    <col min="20" max="20" width="17.83203125" customWidth="1"/>
    <col min="21" max="21" width="18" customWidth="1"/>
    <col min="22" max="22" width="17.83203125" customWidth="1"/>
  </cols>
  <sheetData>
    <row r="1" spans="1:22" x14ac:dyDescent="0.2">
      <c r="A1" s="1" t="s">
        <v>8</v>
      </c>
      <c r="B1" s="1" t="s">
        <v>9</v>
      </c>
      <c r="C1" s="1" t="s">
        <v>10</v>
      </c>
      <c r="D1" s="48" t="s">
        <v>11</v>
      </c>
      <c r="E1" s="1" t="s">
        <v>22</v>
      </c>
      <c r="F1" s="1" t="s">
        <v>23</v>
      </c>
      <c r="G1" t="s">
        <v>297</v>
      </c>
      <c r="H1" t="s">
        <v>298</v>
      </c>
      <c r="I1" t="s">
        <v>299</v>
      </c>
      <c r="J1" t="s">
        <v>300</v>
      </c>
      <c r="K1" t="s">
        <v>301</v>
      </c>
      <c r="L1" t="s">
        <v>302</v>
      </c>
      <c r="T1" s="1" t="s">
        <v>8</v>
      </c>
      <c r="U1" s="1" t="s">
        <v>22</v>
      </c>
      <c r="V1" s="1" t="s">
        <v>8</v>
      </c>
    </row>
    <row r="2" spans="1:22" x14ac:dyDescent="0.2">
      <c r="D2" s="28"/>
      <c r="E2" s="5">
        <v>7000</v>
      </c>
      <c r="G2">
        <f>LOG10(E2)</f>
        <v>3.8450980400142569</v>
      </c>
      <c r="T2">
        <v>0.72850000000000004</v>
      </c>
      <c r="U2" s="5">
        <v>200000</v>
      </c>
      <c r="V2">
        <v>0.72850000000000004</v>
      </c>
    </row>
    <row r="3" spans="1:22" x14ac:dyDescent="0.2">
      <c r="A3">
        <v>20.6</v>
      </c>
      <c r="D3" s="28"/>
      <c r="E3" s="5">
        <v>750000</v>
      </c>
      <c r="F3">
        <v>8.8400000000000002E-4</v>
      </c>
      <c r="G3">
        <f t="shared" ref="G3:G66" si="0">LOG10(E3)</f>
        <v>5.8750612633917001</v>
      </c>
      <c r="H3">
        <f>LOG10(F3)</f>
        <v>-3.0535477349869269</v>
      </c>
      <c r="I3">
        <f>LOG10(A3)</f>
        <v>1.3138672203691535</v>
      </c>
      <c r="T3">
        <v>3.2</v>
      </c>
      <c r="U3" s="5">
        <v>45000</v>
      </c>
      <c r="V3">
        <v>3.2</v>
      </c>
    </row>
    <row r="4" spans="1:22" x14ac:dyDescent="0.2">
      <c r="D4" s="28"/>
      <c r="E4" s="5">
        <v>750000</v>
      </c>
      <c r="F4">
        <v>8.8400000000000002E-4</v>
      </c>
      <c r="G4">
        <f t="shared" si="0"/>
        <v>5.8750612633917001</v>
      </c>
      <c r="H4">
        <f t="shared" ref="H4:H65" si="1">LOG10(F4)</f>
        <v>-3.0535477349869269</v>
      </c>
      <c r="T4">
        <v>4.0999999999999996</v>
      </c>
      <c r="U4" s="5">
        <v>2175000</v>
      </c>
      <c r="V4">
        <v>4.0999999999999996</v>
      </c>
    </row>
    <row r="5" spans="1:22" x14ac:dyDescent="0.2">
      <c r="D5" s="28"/>
      <c r="E5" s="5">
        <v>61000</v>
      </c>
      <c r="G5">
        <f t="shared" si="0"/>
        <v>4.7853298350107671</v>
      </c>
      <c r="T5">
        <v>4.375</v>
      </c>
      <c r="U5">
        <v>2800</v>
      </c>
      <c r="V5">
        <v>4.375</v>
      </c>
    </row>
    <row r="6" spans="1:22" x14ac:dyDescent="0.2">
      <c r="A6">
        <v>1054</v>
      </c>
      <c r="C6" s="5">
        <v>11130</v>
      </c>
      <c r="D6" s="28"/>
      <c r="E6" s="5">
        <v>1600</v>
      </c>
      <c r="F6">
        <v>4.1840000000000002E-3</v>
      </c>
      <c r="G6">
        <f t="shared" si="0"/>
        <v>3.2041199826559246</v>
      </c>
      <c r="H6">
        <f t="shared" si="1"/>
        <v>-2.3784083241407821</v>
      </c>
      <c r="I6">
        <f>LOG10(A6)</f>
        <v>3.022840610876528</v>
      </c>
      <c r="K6">
        <f>LOG10(C6)</f>
        <v>4.0464951643347087</v>
      </c>
      <c r="T6">
        <v>6.3</v>
      </c>
      <c r="U6" s="5">
        <v>215000</v>
      </c>
      <c r="V6">
        <v>6.3</v>
      </c>
    </row>
    <row r="7" spans="1:22" x14ac:dyDescent="0.2">
      <c r="D7" s="28"/>
      <c r="E7" s="5">
        <v>164500</v>
      </c>
      <c r="F7">
        <v>1.1709999999999999E-3</v>
      </c>
      <c r="G7">
        <f t="shared" si="0"/>
        <v>5.2161659022859928</v>
      </c>
      <c r="H7">
        <f t="shared" si="1"/>
        <v>-2.931443104927637</v>
      </c>
      <c r="T7">
        <v>9.66</v>
      </c>
      <c r="U7" s="5">
        <v>1602330</v>
      </c>
      <c r="V7">
        <v>9.66</v>
      </c>
    </row>
    <row r="8" spans="1:22" x14ac:dyDescent="0.2">
      <c r="D8" s="28"/>
      <c r="E8" s="5">
        <v>215000</v>
      </c>
      <c r="G8">
        <f t="shared" si="0"/>
        <v>5.3324384599156049</v>
      </c>
      <c r="T8">
        <v>19.042999999999999</v>
      </c>
      <c r="U8" s="5">
        <v>277500</v>
      </c>
      <c r="V8">
        <v>19.042999999999999</v>
      </c>
    </row>
    <row r="9" spans="1:22" x14ac:dyDescent="0.2">
      <c r="A9">
        <v>60.92</v>
      </c>
      <c r="C9">
        <v>459</v>
      </c>
      <c r="D9" s="28"/>
      <c r="E9" s="5">
        <v>21667</v>
      </c>
      <c r="F9">
        <v>2.1559999999999999E-3</v>
      </c>
      <c r="G9">
        <f t="shared" si="0"/>
        <v>4.3357987833253659</v>
      </c>
      <c r="H9">
        <f t="shared" si="1"/>
        <v>-2.6663512434852987</v>
      </c>
      <c r="I9">
        <f>LOG10(A9)</f>
        <v>1.7847598946640051</v>
      </c>
      <c r="K9">
        <f t="shared" ref="K9:K70" si="2">LOG10(C9)</f>
        <v>2.661812685537261</v>
      </c>
      <c r="T9">
        <v>20</v>
      </c>
      <c r="U9" s="5">
        <v>139842</v>
      </c>
      <c r="V9">
        <v>20</v>
      </c>
    </row>
    <row r="10" spans="1:22" x14ac:dyDescent="0.2">
      <c r="A10">
        <v>349.23</v>
      </c>
      <c r="D10" s="28"/>
      <c r="E10">
        <v>728</v>
      </c>
      <c r="F10">
        <v>3.333E-3</v>
      </c>
      <c r="G10">
        <f t="shared" si="0"/>
        <v>2.8621313793130372</v>
      </c>
      <c r="H10">
        <f t="shared" si="1"/>
        <v>-2.4771646863394698</v>
      </c>
      <c r="I10">
        <f>LOG10(A10)</f>
        <v>2.5431115439534384</v>
      </c>
      <c r="T10">
        <v>20.6</v>
      </c>
      <c r="U10" s="5">
        <v>750000</v>
      </c>
      <c r="V10">
        <v>20.6</v>
      </c>
    </row>
    <row r="11" spans="1:22" x14ac:dyDescent="0.2">
      <c r="A11">
        <v>7860</v>
      </c>
      <c r="C11">
        <v>121250</v>
      </c>
      <c r="D11" s="28"/>
      <c r="E11" s="5">
        <v>2643</v>
      </c>
      <c r="G11">
        <f t="shared" si="0"/>
        <v>3.4220971631317103</v>
      </c>
      <c r="I11">
        <f>LOG10(A11)</f>
        <v>3.8954225460394079</v>
      </c>
      <c r="K11">
        <f t="shared" si="2"/>
        <v>5.0836817472743014</v>
      </c>
      <c r="T11">
        <v>21</v>
      </c>
      <c r="U11" s="5">
        <v>5000</v>
      </c>
      <c r="V11">
        <v>21</v>
      </c>
    </row>
    <row r="12" spans="1:22" x14ac:dyDescent="0.2">
      <c r="A12">
        <v>35.5</v>
      </c>
      <c r="C12">
        <v>188.5</v>
      </c>
      <c r="D12" s="28"/>
      <c r="E12" s="5">
        <v>5735</v>
      </c>
      <c r="G12">
        <f t="shared" si="0"/>
        <v>3.7585334222372864</v>
      </c>
      <c r="I12">
        <f>LOG10(A12)</f>
        <v>1.550228353055094</v>
      </c>
      <c r="K12">
        <f t="shared" si="2"/>
        <v>2.2753113545418118</v>
      </c>
      <c r="T12">
        <v>23.725000000000001</v>
      </c>
      <c r="U12" s="5">
        <v>800000</v>
      </c>
      <c r="V12">
        <v>23.725000000000001</v>
      </c>
    </row>
    <row r="13" spans="1:22" x14ac:dyDescent="0.2">
      <c r="A13">
        <v>420</v>
      </c>
      <c r="C13">
        <v>1940</v>
      </c>
      <c r="D13" s="28"/>
      <c r="E13">
        <v>64.8</v>
      </c>
      <c r="G13">
        <f t="shared" si="0"/>
        <v>1.8115750058705933</v>
      </c>
      <c r="I13">
        <f>LOG10(A13)</f>
        <v>2.6232492903979003</v>
      </c>
      <c r="K13">
        <f t="shared" si="2"/>
        <v>3.287801729930226</v>
      </c>
      <c r="T13">
        <v>25.683</v>
      </c>
      <c r="U13" s="5">
        <v>1300</v>
      </c>
      <c r="V13">
        <v>25.683</v>
      </c>
    </row>
    <row r="14" spans="1:22" x14ac:dyDescent="0.2">
      <c r="D14" s="28"/>
      <c r="E14" s="5">
        <v>61000</v>
      </c>
      <c r="G14">
        <f t="shared" si="0"/>
        <v>4.7853298350107671</v>
      </c>
      <c r="T14">
        <v>30</v>
      </c>
      <c r="U14" s="5">
        <v>164500</v>
      </c>
      <c r="V14">
        <v>30</v>
      </c>
    </row>
    <row r="15" spans="1:22" x14ac:dyDescent="0.2">
      <c r="D15" s="28"/>
      <c r="E15" s="5">
        <v>4175</v>
      </c>
      <c r="F15">
        <v>2.8010000000000001E-3</v>
      </c>
      <c r="G15">
        <f t="shared" si="0"/>
        <v>3.6206564798196208</v>
      </c>
      <c r="H15">
        <f t="shared" si="1"/>
        <v>-2.5526868911764318</v>
      </c>
      <c r="T15">
        <v>35.5</v>
      </c>
      <c r="U15" s="5">
        <v>5735</v>
      </c>
      <c r="V15">
        <v>35.5</v>
      </c>
    </row>
    <row r="16" spans="1:22" x14ac:dyDescent="0.2">
      <c r="D16" s="28"/>
      <c r="E16">
        <v>105</v>
      </c>
      <c r="F16">
        <v>6.3769999999999999E-3</v>
      </c>
      <c r="G16">
        <f t="shared" si="0"/>
        <v>2.0211892990699383</v>
      </c>
      <c r="H16">
        <f t="shared" si="1"/>
        <v>-2.1953835830127448</v>
      </c>
      <c r="T16">
        <v>43.75</v>
      </c>
      <c r="U16" s="5">
        <v>63000</v>
      </c>
      <c r="V16">
        <v>43.75</v>
      </c>
    </row>
    <row r="17" spans="1:22" x14ac:dyDescent="0.2">
      <c r="D17" s="28"/>
      <c r="E17" s="5">
        <v>164500</v>
      </c>
      <c r="F17">
        <v>1.1709999999999999E-3</v>
      </c>
      <c r="G17">
        <f t="shared" si="0"/>
        <v>5.2161659022859928</v>
      </c>
      <c r="H17">
        <f t="shared" si="1"/>
        <v>-2.931443104927637</v>
      </c>
      <c r="T17">
        <v>45.029000000000003</v>
      </c>
      <c r="U17" s="5">
        <v>1100000</v>
      </c>
      <c r="V17">
        <v>45.029000000000003</v>
      </c>
    </row>
    <row r="18" spans="1:22" x14ac:dyDescent="0.2">
      <c r="D18" s="28"/>
      <c r="E18" s="5">
        <v>6500</v>
      </c>
      <c r="F18">
        <v>1.562E-3</v>
      </c>
      <c r="G18">
        <f t="shared" si="0"/>
        <v>3.8129133566428557</v>
      </c>
      <c r="H18">
        <f t="shared" si="1"/>
        <v>-2.8063189704587184</v>
      </c>
      <c r="T18">
        <v>45.469000000000001</v>
      </c>
      <c r="U18" s="5">
        <v>43000</v>
      </c>
      <c r="V18">
        <v>45.469000000000001</v>
      </c>
    </row>
    <row r="19" spans="1:22" x14ac:dyDescent="0.2">
      <c r="D19" s="28"/>
      <c r="E19" s="5">
        <v>17000</v>
      </c>
      <c r="G19">
        <f t="shared" si="0"/>
        <v>4.2304489213782741</v>
      </c>
      <c r="T19">
        <v>47.548299999999998</v>
      </c>
      <c r="U19" s="5">
        <v>12000</v>
      </c>
      <c r="V19">
        <v>47.548299999999998</v>
      </c>
    </row>
    <row r="20" spans="1:22" x14ac:dyDescent="0.2">
      <c r="D20" s="28"/>
      <c r="E20" s="5">
        <v>102500</v>
      </c>
      <c r="G20">
        <f t="shared" si="0"/>
        <v>5.0107238653917729</v>
      </c>
      <c r="T20">
        <v>48.7</v>
      </c>
      <c r="U20" s="5">
        <v>100000</v>
      </c>
      <c r="V20">
        <v>48.7</v>
      </c>
    </row>
    <row r="21" spans="1:22" x14ac:dyDescent="0.2">
      <c r="D21" s="28"/>
      <c r="E21" s="5">
        <v>45.2</v>
      </c>
      <c r="F21">
        <v>6.143E-3</v>
      </c>
      <c r="G21">
        <f t="shared" si="0"/>
        <v>1.6551384348113822</v>
      </c>
      <c r="H21">
        <f t="shared" si="1"/>
        <v>-2.2116194846804369</v>
      </c>
      <c r="T21">
        <v>49.643599999999999</v>
      </c>
      <c r="U21" s="5">
        <v>3178000</v>
      </c>
      <c r="V21">
        <v>49.643599999999999</v>
      </c>
    </row>
    <row r="22" spans="1:22" x14ac:dyDescent="0.2">
      <c r="A22">
        <v>2625</v>
      </c>
      <c r="C22">
        <v>3748</v>
      </c>
      <c r="D22" s="28"/>
      <c r="E22" s="5">
        <v>4500</v>
      </c>
      <c r="F22">
        <v>1.433E-3</v>
      </c>
      <c r="G22">
        <f t="shared" si="0"/>
        <v>3.6532125137753435</v>
      </c>
      <c r="H22">
        <f t="shared" si="1"/>
        <v>-2.8437538096026556</v>
      </c>
      <c r="I22">
        <f>LOG10(A22)</f>
        <v>3.4191293077419758</v>
      </c>
      <c r="K22">
        <f t="shared" si="2"/>
        <v>3.5737995822157407</v>
      </c>
      <c r="T22">
        <v>51.505000000000003</v>
      </c>
      <c r="U22">
        <v>11950</v>
      </c>
      <c r="V22">
        <v>51.505000000000003</v>
      </c>
    </row>
    <row r="23" spans="1:22" x14ac:dyDescent="0.2">
      <c r="D23" s="28"/>
      <c r="E23" s="5">
        <v>413</v>
      </c>
      <c r="F23">
        <v>4.4999999999999997E-3</v>
      </c>
      <c r="G23">
        <f t="shared" si="0"/>
        <v>2.6159500516564012</v>
      </c>
      <c r="H23">
        <f t="shared" si="1"/>
        <v>-2.3467874862246565</v>
      </c>
      <c r="T23">
        <v>58.4</v>
      </c>
      <c r="U23" s="5">
        <v>1332</v>
      </c>
      <c r="V23">
        <v>58.4</v>
      </c>
    </row>
    <row r="24" spans="1:22" x14ac:dyDescent="0.2">
      <c r="T24">
        <v>60.92</v>
      </c>
      <c r="U24" s="5">
        <v>21667</v>
      </c>
      <c r="V24">
        <v>60.92</v>
      </c>
    </row>
    <row r="25" spans="1:22" x14ac:dyDescent="0.2">
      <c r="D25" s="28"/>
      <c r="E25" s="5">
        <v>215000</v>
      </c>
      <c r="G25">
        <f t="shared" si="0"/>
        <v>5.3324384599156049</v>
      </c>
      <c r="T25">
        <v>63.3</v>
      </c>
      <c r="U25" s="5">
        <v>18000</v>
      </c>
      <c r="V25">
        <v>63.3</v>
      </c>
    </row>
    <row r="26" spans="1:22" x14ac:dyDescent="0.2">
      <c r="D26" s="28"/>
      <c r="E26" s="5">
        <v>215000</v>
      </c>
      <c r="G26">
        <f t="shared" si="0"/>
        <v>5.3324384599156049</v>
      </c>
      <c r="T26">
        <v>64.122</v>
      </c>
      <c r="U26" s="5">
        <v>315000</v>
      </c>
      <c r="V26">
        <v>64.122</v>
      </c>
    </row>
    <row r="27" spans="1:22" x14ac:dyDescent="0.2">
      <c r="D27" s="28"/>
      <c r="E27" s="5">
        <v>2643</v>
      </c>
      <c r="G27">
        <f t="shared" si="0"/>
        <v>3.4220971631317103</v>
      </c>
      <c r="T27">
        <v>80.7</v>
      </c>
      <c r="U27" s="5">
        <v>103750</v>
      </c>
      <c r="V27">
        <v>80.7</v>
      </c>
    </row>
    <row r="28" spans="1:22" x14ac:dyDescent="0.2">
      <c r="D28" s="28"/>
      <c r="E28" s="5">
        <v>5735</v>
      </c>
      <c r="G28">
        <f t="shared" si="0"/>
        <v>3.7585334222372864</v>
      </c>
      <c r="T28">
        <v>83.043000000000006</v>
      </c>
      <c r="U28" s="5">
        <v>177500</v>
      </c>
      <c r="V28">
        <v>83.043000000000006</v>
      </c>
    </row>
    <row r="29" spans="1:22" x14ac:dyDescent="0.2">
      <c r="D29" s="28"/>
      <c r="E29" s="5">
        <v>5000</v>
      </c>
      <c r="F29">
        <v>1.116E-3</v>
      </c>
      <c r="G29">
        <f t="shared" si="0"/>
        <v>3.6989700043360187</v>
      </c>
      <c r="H29">
        <f t="shared" si="1"/>
        <v>-2.9523358053984401</v>
      </c>
      <c r="T29">
        <v>97.421999999999997</v>
      </c>
      <c r="U29" s="5">
        <v>46000</v>
      </c>
      <c r="V29">
        <v>97.421999999999997</v>
      </c>
    </row>
    <row r="30" spans="1:22" x14ac:dyDescent="0.2">
      <c r="D30" s="28"/>
      <c r="E30" s="5">
        <v>139842</v>
      </c>
      <c r="G30">
        <f t="shared" si="0"/>
        <v>5.1456376265514301</v>
      </c>
      <c r="T30">
        <v>110.2</v>
      </c>
      <c r="U30" s="5">
        <v>776</v>
      </c>
      <c r="V30">
        <v>110.2</v>
      </c>
    </row>
    <row r="31" spans="1:22" x14ac:dyDescent="0.2">
      <c r="D31" s="28"/>
      <c r="E31">
        <v>64.8</v>
      </c>
      <c r="G31">
        <f t="shared" si="0"/>
        <v>1.8115750058705933</v>
      </c>
      <c r="T31">
        <v>114.66</v>
      </c>
      <c r="U31" s="5">
        <v>117500</v>
      </c>
      <c r="V31">
        <v>114.66</v>
      </c>
    </row>
    <row r="32" spans="1:22" x14ac:dyDescent="0.2">
      <c r="D32" s="28"/>
      <c r="E32" s="5">
        <v>2643</v>
      </c>
      <c r="G32">
        <f t="shared" si="0"/>
        <v>3.4220971631317103</v>
      </c>
      <c r="T32">
        <v>138.59800000000001</v>
      </c>
      <c r="U32">
        <v>235</v>
      </c>
      <c r="V32">
        <v>138.59800000000001</v>
      </c>
    </row>
    <row r="33" spans="1:22" x14ac:dyDescent="0.2">
      <c r="D33" s="28"/>
      <c r="E33" s="5">
        <v>5735</v>
      </c>
      <c r="G33">
        <f t="shared" si="0"/>
        <v>3.7585334222372864</v>
      </c>
      <c r="T33">
        <v>170.1</v>
      </c>
      <c r="U33" s="5">
        <v>1021</v>
      </c>
      <c r="V33">
        <v>170.1</v>
      </c>
    </row>
    <row r="34" spans="1:22" x14ac:dyDescent="0.2">
      <c r="D34" s="28"/>
      <c r="E34" s="5">
        <v>5000</v>
      </c>
      <c r="F34">
        <v>1.116E-3</v>
      </c>
      <c r="G34">
        <f t="shared" si="0"/>
        <v>3.6989700043360187</v>
      </c>
      <c r="H34">
        <f t="shared" si="1"/>
        <v>-2.9523358053984401</v>
      </c>
      <c r="T34">
        <v>213.6</v>
      </c>
      <c r="U34" s="5">
        <v>3900</v>
      </c>
      <c r="V34">
        <v>213.6</v>
      </c>
    </row>
    <row r="35" spans="1:22" x14ac:dyDescent="0.2">
      <c r="D35" s="28"/>
      <c r="E35" s="5">
        <v>139842</v>
      </c>
      <c r="G35">
        <f t="shared" si="0"/>
        <v>5.1456376265514301</v>
      </c>
      <c r="T35">
        <v>248.8</v>
      </c>
      <c r="U35" s="5">
        <v>19500</v>
      </c>
      <c r="V35">
        <v>248.8</v>
      </c>
    </row>
    <row r="36" spans="1:22" x14ac:dyDescent="0.2">
      <c r="D36" s="28"/>
      <c r="E36">
        <v>64.8</v>
      </c>
      <c r="G36">
        <f t="shared" si="0"/>
        <v>1.8115750058705933</v>
      </c>
      <c r="T36">
        <v>263.02999999999997</v>
      </c>
      <c r="U36">
        <v>412.5</v>
      </c>
      <c r="V36">
        <v>263.02999999999997</v>
      </c>
    </row>
    <row r="37" spans="1:22" x14ac:dyDescent="0.2">
      <c r="A37">
        <v>21</v>
      </c>
      <c r="C37">
        <v>37</v>
      </c>
      <c r="D37" s="28"/>
      <c r="E37" s="5">
        <v>5000</v>
      </c>
      <c r="F37">
        <v>1.116E-3</v>
      </c>
      <c r="G37">
        <f t="shared" si="0"/>
        <v>3.6989700043360187</v>
      </c>
      <c r="H37">
        <f t="shared" si="1"/>
        <v>-2.9523358053984401</v>
      </c>
      <c r="I37">
        <f>LOG10(A37)</f>
        <v>1.3222192947339193</v>
      </c>
      <c r="K37">
        <f t="shared" si="2"/>
        <v>1.568201724066995</v>
      </c>
      <c r="T37">
        <v>307.8</v>
      </c>
      <c r="U37" s="5">
        <v>81150</v>
      </c>
      <c r="V37">
        <v>307.8</v>
      </c>
    </row>
    <row r="38" spans="1:22" x14ac:dyDescent="0.2">
      <c r="B38">
        <v>1240</v>
      </c>
      <c r="D38" s="28">
        <v>64845</v>
      </c>
      <c r="E38" s="5">
        <v>2643</v>
      </c>
      <c r="G38">
        <f t="shared" si="0"/>
        <v>3.4220971631317103</v>
      </c>
      <c r="J38">
        <f>LOG10(B38)</f>
        <v>3.0934216851622351</v>
      </c>
      <c r="L38">
        <f>LOG10(D38)</f>
        <v>4.8118764945893329</v>
      </c>
      <c r="T38">
        <v>312.55</v>
      </c>
      <c r="U38">
        <v>22983.200000000001</v>
      </c>
      <c r="V38">
        <v>312.55</v>
      </c>
    </row>
    <row r="39" spans="1:22" x14ac:dyDescent="0.2">
      <c r="B39">
        <v>25</v>
      </c>
      <c r="D39" s="28">
        <v>749.5</v>
      </c>
      <c r="E39" s="5">
        <v>5735</v>
      </c>
      <c r="G39">
        <f t="shared" si="0"/>
        <v>3.7585334222372864</v>
      </c>
      <c r="J39">
        <f t="shared" ref="J39:J97" si="3">LOG10(B39)</f>
        <v>1.3979400086720377</v>
      </c>
      <c r="L39">
        <f t="shared" ref="L39:L97" si="4">LOG10(D39)</f>
        <v>2.8747716371842982</v>
      </c>
      <c r="T39">
        <v>349.23</v>
      </c>
      <c r="U39">
        <v>728</v>
      </c>
      <c r="V39">
        <v>349.23</v>
      </c>
    </row>
    <row r="40" spans="1:22" x14ac:dyDescent="0.2">
      <c r="B40">
        <v>60</v>
      </c>
      <c r="D40" s="28">
        <v>140</v>
      </c>
      <c r="E40" s="5">
        <v>139842</v>
      </c>
      <c r="G40">
        <f t="shared" si="0"/>
        <v>5.1456376265514301</v>
      </c>
      <c r="J40">
        <f t="shared" si="3"/>
        <v>1.7781512503836436</v>
      </c>
      <c r="L40">
        <f t="shared" si="4"/>
        <v>2.1461280356782382</v>
      </c>
      <c r="T40">
        <v>420</v>
      </c>
      <c r="U40">
        <v>64.8</v>
      </c>
      <c r="V40">
        <v>420</v>
      </c>
    </row>
    <row r="41" spans="1:22" x14ac:dyDescent="0.2">
      <c r="B41">
        <v>90</v>
      </c>
      <c r="D41" s="28">
        <v>870</v>
      </c>
      <c r="E41">
        <v>64.8</v>
      </c>
      <c r="G41">
        <f t="shared" si="0"/>
        <v>1.8115750058705933</v>
      </c>
      <c r="J41">
        <f t="shared" si="3"/>
        <v>1.954242509439325</v>
      </c>
      <c r="L41">
        <f t="shared" si="4"/>
        <v>2.9395192526186187</v>
      </c>
      <c r="T41">
        <v>618.5</v>
      </c>
      <c r="U41" s="6">
        <v>38446.1</v>
      </c>
      <c r="V41">
        <v>618.5</v>
      </c>
    </row>
    <row r="42" spans="1:22" x14ac:dyDescent="0.2">
      <c r="D42" s="28"/>
      <c r="E42" s="5">
        <v>119700</v>
      </c>
      <c r="F42">
        <v>9.7099999999999997E-4</v>
      </c>
      <c r="G42">
        <f t="shared" si="0"/>
        <v>5.078094150406411</v>
      </c>
      <c r="H42">
        <f t="shared" si="1"/>
        <v>-3.0127807700919953</v>
      </c>
      <c r="T42">
        <v>642.1</v>
      </c>
      <c r="U42" s="5">
        <v>1500</v>
      </c>
      <c r="V42">
        <v>642.1</v>
      </c>
    </row>
    <row r="43" spans="1:22" x14ac:dyDescent="0.2">
      <c r="D43" s="28"/>
      <c r="E43" s="5">
        <v>119700</v>
      </c>
      <c r="F43">
        <v>9.7099999999999997E-4</v>
      </c>
      <c r="G43">
        <f t="shared" si="0"/>
        <v>5.078094150406411</v>
      </c>
      <c r="H43">
        <f t="shared" si="1"/>
        <v>-3.0127807700919953</v>
      </c>
      <c r="T43">
        <v>1054</v>
      </c>
      <c r="U43" s="5">
        <v>1600</v>
      </c>
      <c r="V43">
        <v>1054</v>
      </c>
    </row>
    <row r="44" spans="1:22" x14ac:dyDescent="0.2">
      <c r="A44">
        <v>642.1</v>
      </c>
      <c r="C44">
        <v>1379.3</v>
      </c>
      <c r="D44" s="28"/>
      <c r="E44" s="5">
        <v>1500</v>
      </c>
      <c r="F44">
        <v>1.01E-3</v>
      </c>
      <c r="G44">
        <f t="shared" si="0"/>
        <v>3.1760912590556813</v>
      </c>
      <c r="H44">
        <f t="shared" si="1"/>
        <v>-2.9956786262173574</v>
      </c>
      <c r="I44">
        <f>LOG10(A44)</f>
        <v>2.8076026699164944</v>
      </c>
      <c r="K44">
        <f t="shared" si="2"/>
        <v>3.1396587362081774</v>
      </c>
      <c r="T44">
        <v>2625</v>
      </c>
      <c r="U44" s="5">
        <v>4500</v>
      </c>
      <c r="V44">
        <v>2625</v>
      </c>
    </row>
    <row r="45" spans="1:22" x14ac:dyDescent="0.2">
      <c r="D45" s="28"/>
      <c r="E45" s="5">
        <v>10650</v>
      </c>
      <c r="G45">
        <f t="shared" si="0"/>
        <v>4.0273496077747568</v>
      </c>
      <c r="T45">
        <v>7860</v>
      </c>
      <c r="U45" s="5">
        <v>2643</v>
      </c>
      <c r="V45">
        <v>7860</v>
      </c>
    </row>
    <row r="46" spans="1:22" x14ac:dyDescent="0.2">
      <c r="A46">
        <v>9.66</v>
      </c>
      <c r="C46">
        <v>35.28</v>
      </c>
      <c r="D46" s="28"/>
      <c r="E46" s="5">
        <v>1602330</v>
      </c>
      <c r="G46">
        <f t="shared" si="0"/>
        <v>6.2047519639454238</v>
      </c>
      <c r="I46">
        <f>LOG10(A46)</f>
        <v>0.9849771264154934</v>
      </c>
      <c r="K46">
        <f t="shared" si="2"/>
        <v>1.5475285764597821</v>
      </c>
      <c r="U46" s="5">
        <v>7000</v>
      </c>
    </row>
    <row r="47" spans="1:22" x14ac:dyDescent="0.2">
      <c r="D47" s="28"/>
      <c r="E47" s="5">
        <v>20200</v>
      </c>
      <c r="F47">
        <v>1.6180000000000001E-3</v>
      </c>
      <c r="G47">
        <f t="shared" si="0"/>
        <v>4.3053513694466234</v>
      </c>
      <c r="H47">
        <f t="shared" si="1"/>
        <v>-2.7910214827237465</v>
      </c>
      <c r="U47" s="5">
        <v>750000</v>
      </c>
    </row>
    <row r="48" spans="1:22" x14ac:dyDescent="0.2">
      <c r="B48">
        <v>1743.1</v>
      </c>
      <c r="D48" s="28"/>
      <c r="E48" s="5">
        <v>20.87</v>
      </c>
      <c r="G48">
        <f t="shared" si="0"/>
        <v>1.319522449065454</v>
      </c>
      <c r="J48">
        <f t="shared" si="3"/>
        <v>3.241322302888773</v>
      </c>
      <c r="U48" s="5">
        <v>61000</v>
      </c>
    </row>
    <row r="49" spans="1:21" x14ac:dyDescent="0.2">
      <c r="B49">
        <v>2842.33</v>
      </c>
      <c r="D49" s="28"/>
      <c r="E49" s="5">
        <v>30</v>
      </c>
      <c r="F49">
        <v>7.9799999999999992E-3</v>
      </c>
      <c r="G49">
        <f t="shared" si="0"/>
        <v>1.4771212547196624</v>
      </c>
      <c r="H49">
        <f t="shared" si="1"/>
        <v>-2.0979971086492708</v>
      </c>
      <c r="J49">
        <f t="shared" si="3"/>
        <v>3.4536744989464845</v>
      </c>
      <c r="U49" s="5">
        <v>164500</v>
      </c>
    </row>
    <row r="50" spans="1:21" x14ac:dyDescent="0.2">
      <c r="B50">
        <v>1711.28</v>
      </c>
      <c r="D50" s="28"/>
      <c r="E50" s="5">
        <v>37</v>
      </c>
      <c r="F50">
        <v>4.1840000000000002E-3</v>
      </c>
      <c r="G50">
        <f t="shared" si="0"/>
        <v>1.568201724066995</v>
      </c>
      <c r="H50">
        <f t="shared" si="1"/>
        <v>-2.3784083241407821</v>
      </c>
      <c r="J50">
        <f t="shared" si="3"/>
        <v>3.2333210747112231</v>
      </c>
      <c r="U50" s="5">
        <v>215000</v>
      </c>
    </row>
    <row r="51" spans="1:21" x14ac:dyDescent="0.2">
      <c r="B51">
        <v>1436.55</v>
      </c>
      <c r="D51" s="28">
        <v>2368.4699999999998</v>
      </c>
      <c r="E51">
        <v>21</v>
      </c>
      <c r="F51">
        <v>1.0683E-2</v>
      </c>
      <c r="G51">
        <f t="shared" si="0"/>
        <v>1.3222192947339193</v>
      </c>
      <c r="H51">
        <f t="shared" si="1"/>
        <v>-1.9713067716060839</v>
      </c>
      <c r="J51">
        <f t="shared" si="3"/>
        <v>3.1573207464756821</v>
      </c>
      <c r="L51">
        <f t="shared" si="4"/>
        <v>3.3744678881490628</v>
      </c>
      <c r="U51" s="5">
        <v>61000</v>
      </c>
    </row>
    <row r="52" spans="1:21" x14ac:dyDescent="0.2">
      <c r="A52">
        <v>49.643599999999999</v>
      </c>
      <c r="D52" s="28"/>
      <c r="E52" s="5">
        <v>3178000</v>
      </c>
      <c r="F52">
        <v>6.3599999999999996E-4</v>
      </c>
      <c r="G52">
        <f t="shared" si="0"/>
        <v>6.5021538928713607</v>
      </c>
      <c r="H52">
        <f t="shared" si="1"/>
        <v>-3.1965428843515862</v>
      </c>
      <c r="I52">
        <f>LOG10(A52)</f>
        <v>1.6958632676583771</v>
      </c>
      <c r="U52" s="5">
        <v>4175</v>
      </c>
    </row>
    <row r="53" spans="1:21" x14ac:dyDescent="0.2">
      <c r="D53" s="28"/>
      <c r="E53" s="5">
        <v>3178000</v>
      </c>
      <c r="F53">
        <v>6.3599999999999996E-4</v>
      </c>
      <c r="G53">
        <f t="shared" si="0"/>
        <v>6.5021538928713607</v>
      </c>
      <c r="H53">
        <f t="shared" si="1"/>
        <v>-3.1965428843515862</v>
      </c>
      <c r="U53">
        <v>105</v>
      </c>
    </row>
    <row r="54" spans="1:21" x14ac:dyDescent="0.2">
      <c r="D54" s="28"/>
      <c r="E54" s="5">
        <v>4175</v>
      </c>
      <c r="F54">
        <v>2.8010000000000001E-3</v>
      </c>
      <c r="G54">
        <f t="shared" si="0"/>
        <v>3.6206564798196208</v>
      </c>
      <c r="H54">
        <f t="shared" si="1"/>
        <v>-2.5526868911764318</v>
      </c>
      <c r="U54" s="5">
        <v>164500</v>
      </c>
    </row>
    <row r="55" spans="1:21" x14ac:dyDescent="0.2">
      <c r="D55" s="28"/>
      <c r="E55" s="5">
        <v>5200</v>
      </c>
      <c r="F55">
        <v>2.1289999999999998E-3</v>
      </c>
      <c r="G55">
        <f t="shared" si="0"/>
        <v>3.716003343634799</v>
      </c>
      <c r="H55">
        <f t="shared" si="1"/>
        <v>-2.6718243385616773</v>
      </c>
      <c r="U55" s="5">
        <v>6500</v>
      </c>
    </row>
    <row r="56" spans="1:21" x14ac:dyDescent="0.2">
      <c r="D56" s="28"/>
      <c r="E56" s="5">
        <v>164500</v>
      </c>
      <c r="F56">
        <v>1.1709999999999999E-3</v>
      </c>
      <c r="G56">
        <f t="shared" si="0"/>
        <v>5.2161659022859928</v>
      </c>
      <c r="H56">
        <f t="shared" si="1"/>
        <v>-2.931443104927637</v>
      </c>
      <c r="U56" s="5">
        <v>17000</v>
      </c>
    </row>
    <row r="57" spans="1:21" x14ac:dyDescent="0.2">
      <c r="D57" s="28"/>
      <c r="E57" s="5">
        <v>215000</v>
      </c>
      <c r="G57">
        <f t="shared" si="0"/>
        <v>5.3324384599156049</v>
      </c>
      <c r="U57" s="5">
        <v>102500</v>
      </c>
    </row>
    <row r="58" spans="1:21" x14ac:dyDescent="0.2">
      <c r="D58" s="28"/>
      <c r="E58" s="5">
        <v>4132</v>
      </c>
      <c r="F58">
        <v>2.9979999999999998E-3</v>
      </c>
      <c r="G58">
        <f t="shared" si="0"/>
        <v>3.6161603128475828</v>
      </c>
      <c r="H58">
        <f t="shared" si="1"/>
        <v>-2.5231683714877393</v>
      </c>
      <c r="U58" s="5">
        <v>45.2</v>
      </c>
    </row>
    <row r="59" spans="1:21" x14ac:dyDescent="0.2">
      <c r="D59" s="28"/>
      <c r="E59" s="5">
        <v>45.2</v>
      </c>
      <c r="F59">
        <v>6.143E-3</v>
      </c>
      <c r="G59">
        <f t="shared" si="0"/>
        <v>1.6551384348113822</v>
      </c>
      <c r="H59">
        <f t="shared" si="1"/>
        <v>-2.2116194846804369</v>
      </c>
      <c r="U59" s="5">
        <v>413</v>
      </c>
    </row>
    <row r="60" spans="1:21" x14ac:dyDescent="0.2">
      <c r="A60">
        <v>263.02999999999997</v>
      </c>
      <c r="C60">
        <v>416.87</v>
      </c>
      <c r="D60" s="28"/>
      <c r="E60">
        <v>412.5</v>
      </c>
      <c r="G60">
        <f t="shared" si="0"/>
        <v>2.6154239528859438</v>
      </c>
      <c r="I60">
        <f>LOG10(A60)</f>
        <v>2.4200052849590512</v>
      </c>
      <c r="K60">
        <f t="shared" si="2"/>
        <v>2.6200006423000679</v>
      </c>
    </row>
    <row r="61" spans="1:21" x14ac:dyDescent="0.2">
      <c r="A61">
        <v>0.72850000000000004</v>
      </c>
      <c r="B61">
        <v>5.1319999999999997</v>
      </c>
      <c r="C61">
        <v>6.2914000000000003</v>
      </c>
      <c r="D61" s="28">
        <v>16.645</v>
      </c>
      <c r="E61" s="5">
        <v>200000</v>
      </c>
      <c r="F61">
        <v>1.678E-3</v>
      </c>
      <c r="G61">
        <f t="shared" si="0"/>
        <v>5.3010299956639813</v>
      </c>
      <c r="H61">
        <f t="shared" si="1"/>
        <v>-2.7752080435073183</v>
      </c>
      <c r="I61">
        <f>LOG10(A61)</f>
        <v>-0.13757044389399103</v>
      </c>
      <c r="J61">
        <f t="shared" si="3"/>
        <v>0.71028664770289085</v>
      </c>
      <c r="K61">
        <f t="shared" si="2"/>
        <v>0.79874729800812749</v>
      </c>
      <c r="L61">
        <f t="shared" si="4"/>
        <v>1.2212837994926862</v>
      </c>
      <c r="U61" s="5">
        <v>215000</v>
      </c>
    </row>
    <row r="62" spans="1:21" x14ac:dyDescent="0.2">
      <c r="A62">
        <v>51.505000000000003</v>
      </c>
      <c r="C62">
        <v>80.245000000000005</v>
      </c>
      <c r="D62" s="28"/>
      <c r="E62">
        <v>11950</v>
      </c>
      <c r="G62">
        <f t="shared" si="0"/>
        <v>4.0773679052841567</v>
      </c>
      <c r="I62">
        <f>LOG10(A62)</f>
        <v>1.7118493915073085</v>
      </c>
      <c r="K62">
        <f t="shared" si="2"/>
        <v>1.9044179813876956</v>
      </c>
      <c r="U62" s="5">
        <v>215000</v>
      </c>
    </row>
    <row r="63" spans="1:21" x14ac:dyDescent="0.2">
      <c r="D63" s="28"/>
      <c r="E63" s="5">
        <v>200000</v>
      </c>
      <c r="F63">
        <v>1.678E-3</v>
      </c>
      <c r="G63">
        <f t="shared" si="0"/>
        <v>5.3010299956639813</v>
      </c>
      <c r="H63">
        <f t="shared" si="1"/>
        <v>-2.7752080435073183</v>
      </c>
      <c r="U63" s="5">
        <v>2643</v>
      </c>
    </row>
    <row r="64" spans="1:21" x14ac:dyDescent="0.2">
      <c r="D64" s="28"/>
      <c r="E64" s="5">
        <v>87000</v>
      </c>
      <c r="F64">
        <v>1.9959999999999999E-3</v>
      </c>
      <c r="G64">
        <f t="shared" si="0"/>
        <v>4.9395192526186182</v>
      </c>
      <c r="H64">
        <f t="shared" si="1"/>
        <v>-2.6998394630486477</v>
      </c>
      <c r="U64" s="5">
        <v>5735</v>
      </c>
    </row>
    <row r="65" spans="1:21" x14ac:dyDescent="0.2">
      <c r="D65" s="28"/>
      <c r="E65" s="5">
        <v>26500</v>
      </c>
      <c r="F65">
        <v>3.7729999999999999E-3</v>
      </c>
      <c r="G65">
        <f t="shared" si="0"/>
        <v>4.4232458739368079</v>
      </c>
      <c r="H65">
        <f t="shared" si="1"/>
        <v>-2.4233131947990043</v>
      </c>
      <c r="U65" s="5">
        <v>5000</v>
      </c>
    </row>
    <row r="66" spans="1:21" x14ac:dyDescent="0.2">
      <c r="D66" s="28"/>
      <c r="E66" s="5">
        <v>17400</v>
      </c>
      <c r="G66">
        <f t="shared" si="0"/>
        <v>4.2405492482825995</v>
      </c>
      <c r="U66" s="5">
        <v>139842</v>
      </c>
    </row>
    <row r="67" spans="1:21" x14ac:dyDescent="0.2">
      <c r="A67">
        <v>45.029000000000003</v>
      </c>
      <c r="C67">
        <v>105.90300000000001</v>
      </c>
      <c r="D67" s="28"/>
      <c r="E67" s="5">
        <v>1100000</v>
      </c>
      <c r="G67">
        <f t="shared" ref="G67:G102" si="5">LOG10(E67)</f>
        <v>6.0413926851582254</v>
      </c>
      <c r="I67">
        <f>LOG10(A67)</f>
        <v>1.65349230229706</v>
      </c>
      <c r="K67">
        <f t="shared" si="2"/>
        <v>2.0249082628930526</v>
      </c>
      <c r="U67">
        <v>64.8</v>
      </c>
    </row>
    <row r="68" spans="1:21" x14ac:dyDescent="0.2">
      <c r="A68">
        <v>25.683</v>
      </c>
      <c r="C68">
        <v>209.113</v>
      </c>
      <c r="D68" s="28"/>
      <c r="E68" s="5">
        <v>1300</v>
      </c>
      <c r="F68">
        <v>2.9889999999999999E-3</v>
      </c>
      <c r="G68">
        <f t="shared" si="5"/>
        <v>3.1139433523068369</v>
      </c>
      <c r="H68">
        <f t="shared" ref="H68:H101" si="6">LOG10(F68)</f>
        <v>-2.5244740849607195</v>
      </c>
      <c r="I68">
        <f>LOG10(A68)</f>
        <v>1.4096457517702048</v>
      </c>
      <c r="K68">
        <f t="shared" si="2"/>
        <v>2.3203810325917895</v>
      </c>
      <c r="U68" s="5">
        <v>2643</v>
      </c>
    </row>
    <row r="69" spans="1:21" x14ac:dyDescent="0.2">
      <c r="D69" s="28"/>
      <c r="E69" s="5">
        <v>700000</v>
      </c>
      <c r="G69">
        <f t="shared" si="5"/>
        <v>5.8450980400142569</v>
      </c>
      <c r="U69" s="5">
        <v>5735</v>
      </c>
    </row>
    <row r="70" spans="1:21" x14ac:dyDescent="0.2">
      <c r="A70">
        <v>307.8</v>
      </c>
      <c r="C70">
        <v>820.9</v>
      </c>
      <c r="D70" s="28"/>
      <c r="E70" s="5">
        <v>81150</v>
      </c>
      <c r="F70">
        <v>1.238E-3</v>
      </c>
      <c r="G70">
        <f t="shared" si="5"/>
        <v>4.9092885241622506</v>
      </c>
      <c r="H70">
        <f t="shared" si="6"/>
        <v>-2.9072793553159006</v>
      </c>
      <c r="I70">
        <f>LOG10(A70)</f>
        <v>2.4882686154954601</v>
      </c>
      <c r="K70">
        <f t="shared" si="2"/>
        <v>2.9142902556659491</v>
      </c>
      <c r="U70" s="5">
        <v>5000</v>
      </c>
    </row>
    <row r="71" spans="1:21" x14ac:dyDescent="0.2">
      <c r="A71">
        <v>43.75</v>
      </c>
      <c r="C71">
        <v>744.95</v>
      </c>
      <c r="D71" s="28"/>
      <c r="E71" s="5">
        <v>63000</v>
      </c>
      <c r="G71">
        <f t="shared" si="5"/>
        <v>4.7993405494535821</v>
      </c>
      <c r="I71">
        <f>LOG10(A71)</f>
        <v>1.6409780573583321</v>
      </c>
      <c r="K71">
        <f t="shared" ref="K71:K102" si="7">LOG10(C71)</f>
        <v>2.8721271244894879</v>
      </c>
      <c r="U71" s="5">
        <v>139842</v>
      </c>
    </row>
    <row r="72" spans="1:21" x14ac:dyDescent="0.2">
      <c r="D72" s="28"/>
      <c r="E72">
        <v>3940034</v>
      </c>
      <c r="F72">
        <v>8.9999999999999998E-4</v>
      </c>
      <c r="G72">
        <f t="shared" si="5"/>
        <v>6.5954999695282837</v>
      </c>
      <c r="H72">
        <f t="shared" si="6"/>
        <v>-3.0457574905606752</v>
      </c>
      <c r="U72">
        <v>64.8</v>
      </c>
    </row>
    <row r="73" spans="1:21" x14ac:dyDescent="0.2">
      <c r="A73">
        <v>4.375</v>
      </c>
      <c r="C73">
        <v>43.6</v>
      </c>
      <c r="D73" s="28"/>
      <c r="E73">
        <v>2800</v>
      </c>
      <c r="G73">
        <f t="shared" si="5"/>
        <v>3.4471580313422194</v>
      </c>
      <c r="I73">
        <f t="shared" ref="I73:I92" si="8">LOG10(A73)</f>
        <v>0.64097805735833202</v>
      </c>
      <c r="K73">
        <f t="shared" si="7"/>
        <v>1.6394864892685861</v>
      </c>
      <c r="U73" s="5">
        <v>2643</v>
      </c>
    </row>
    <row r="74" spans="1:21" x14ac:dyDescent="0.2">
      <c r="A74">
        <v>6.3</v>
      </c>
      <c r="B74">
        <v>102.75</v>
      </c>
      <c r="C74">
        <v>19.2</v>
      </c>
      <c r="D74" s="28">
        <v>283.89999999999998</v>
      </c>
      <c r="E74" s="5">
        <v>215000</v>
      </c>
      <c r="G74">
        <f t="shared" si="5"/>
        <v>5.3324384599156049</v>
      </c>
      <c r="I74">
        <f t="shared" si="8"/>
        <v>0.79934054945358168</v>
      </c>
      <c r="J74">
        <f t="shared" si="3"/>
        <v>2.0117818305481068</v>
      </c>
      <c r="K74">
        <f t="shared" si="7"/>
        <v>1.2833012287035497</v>
      </c>
      <c r="L74">
        <f t="shared" si="4"/>
        <v>2.453165392525857</v>
      </c>
      <c r="U74" s="5">
        <v>5735</v>
      </c>
    </row>
    <row r="75" spans="1:21" x14ac:dyDescent="0.2">
      <c r="A75">
        <v>30</v>
      </c>
      <c r="B75">
        <v>640</v>
      </c>
      <c r="C75">
        <v>115</v>
      </c>
      <c r="D75" s="28">
        <v>1320</v>
      </c>
      <c r="E75" s="5">
        <v>164500</v>
      </c>
      <c r="F75">
        <v>1.1709999999999999E-3</v>
      </c>
      <c r="G75">
        <f t="shared" si="5"/>
        <v>5.2161659022859928</v>
      </c>
      <c r="H75">
        <f t="shared" si="6"/>
        <v>-2.931443104927637</v>
      </c>
      <c r="I75">
        <f t="shared" si="8"/>
        <v>1.4771212547196624</v>
      </c>
      <c r="J75">
        <f t="shared" si="3"/>
        <v>2.8061799739838871</v>
      </c>
      <c r="K75">
        <f t="shared" si="7"/>
        <v>2.0606978403536118</v>
      </c>
      <c r="L75">
        <f t="shared" si="4"/>
        <v>3.12057393120585</v>
      </c>
      <c r="U75" s="5">
        <v>139842</v>
      </c>
    </row>
    <row r="76" spans="1:21" x14ac:dyDescent="0.2">
      <c r="A76">
        <v>20</v>
      </c>
      <c r="C76">
        <v>40</v>
      </c>
      <c r="D76" s="28"/>
      <c r="E76" s="5">
        <v>139842</v>
      </c>
      <c r="G76">
        <f t="shared" si="5"/>
        <v>5.1456376265514301</v>
      </c>
      <c r="I76">
        <f t="shared" si="8"/>
        <v>1.3010299956639813</v>
      </c>
      <c r="K76">
        <f t="shared" si="7"/>
        <v>1.6020599913279623</v>
      </c>
      <c r="U76">
        <v>64.8</v>
      </c>
    </row>
    <row r="77" spans="1:21" x14ac:dyDescent="0.2">
      <c r="A77">
        <v>58.4</v>
      </c>
      <c r="B77">
        <v>1030</v>
      </c>
      <c r="C77">
        <v>104.2</v>
      </c>
      <c r="D77" s="28">
        <v>2120</v>
      </c>
      <c r="E77" s="5">
        <v>1332</v>
      </c>
      <c r="G77">
        <f t="shared" si="5"/>
        <v>3.1245042248342823</v>
      </c>
      <c r="I77">
        <f t="shared" si="8"/>
        <v>1.7664128471123994</v>
      </c>
      <c r="J77">
        <f t="shared" si="3"/>
        <v>3.012837224705172</v>
      </c>
      <c r="K77">
        <f t="shared" si="7"/>
        <v>2.0178677189635055</v>
      </c>
      <c r="L77">
        <f t="shared" si="4"/>
        <v>3.3263358609287512</v>
      </c>
      <c r="U77" s="5">
        <v>119700</v>
      </c>
    </row>
    <row r="78" spans="1:21" x14ac:dyDescent="0.2">
      <c r="A78">
        <v>23.725000000000001</v>
      </c>
      <c r="B78">
        <v>64.758300000000006</v>
      </c>
      <c r="C78">
        <v>49.3</v>
      </c>
      <c r="D78" s="28">
        <v>178.8</v>
      </c>
      <c r="E78" s="5">
        <v>800000</v>
      </c>
      <c r="F78">
        <v>8.7399999999999999E-4</v>
      </c>
      <c r="G78">
        <f t="shared" si="5"/>
        <v>5.9030899869919438</v>
      </c>
      <c r="H78">
        <f t="shared" si="6"/>
        <v>-3.0584885673655968</v>
      </c>
      <c r="I78">
        <f t="shared" si="8"/>
        <v>1.3752062210993303</v>
      </c>
      <c r="J78">
        <f t="shared" si="3"/>
        <v>1.8112954393662359</v>
      </c>
      <c r="K78">
        <f t="shared" si="7"/>
        <v>1.69284691927723</v>
      </c>
      <c r="L78">
        <f t="shared" si="4"/>
        <v>2.2523675144598987</v>
      </c>
      <c r="U78" s="5">
        <v>119700</v>
      </c>
    </row>
    <row r="79" spans="1:21" x14ac:dyDescent="0.2">
      <c r="A79">
        <v>64.122</v>
      </c>
      <c r="B79">
        <v>104.312</v>
      </c>
      <c r="C79">
        <v>14.9099</v>
      </c>
      <c r="D79" s="28">
        <v>59.786999999999999</v>
      </c>
      <c r="E79" s="5">
        <v>315000</v>
      </c>
      <c r="G79">
        <f t="shared" si="5"/>
        <v>5.4983105537896009</v>
      </c>
      <c r="I79">
        <f t="shared" si="8"/>
        <v>1.8070070597740877</v>
      </c>
      <c r="J79">
        <f t="shared" si="3"/>
        <v>2.0183342723191986</v>
      </c>
      <c r="K79">
        <f t="shared" si="7"/>
        <v>1.1734747306700415</v>
      </c>
      <c r="L79">
        <f t="shared" si="4"/>
        <v>1.7766067618808743</v>
      </c>
      <c r="U79" s="5">
        <v>10650</v>
      </c>
    </row>
    <row r="80" spans="1:21" x14ac:dyDescent="0.2">
      <c r="A80">
        <v>618.5</v>
      </c>
      <c r="B80">
        <v>232.9</v>
      </c>
      <c r="C80">
        <v>1850.3</v>
      </c>
      <c r="D80" s="28">
        <v>3578</v>
      </c>
      <c r="E80" s="6">
        <v>38446.1</v>
      </c>
      <c r="F80">
        <v>1.6069999999999999E-3</v>
      </c>
      <c r="G80">
        <f t="shared" si="5"/>
        <v>4.584852291227592</v>
      </c>
      <c r="H80">
        <f t="shared" si="6"/>
        <v>-2.7939841232366556</v>
      </c>
      <c r="I80">
        <f t="shared" si="8"/>
        <v>2.7913397039651393</v>
      </c>
      <c r="J80">
        <f t="shared" si="3"/>
        <v>2.3671694885346808</v>
      </c>
      <c r="K80">
        <f t="shared" si="7"/>
        <v>3.2672421488256047</v>
      </c>
      <c r="L80">
        <f t="shared" si="4"/>
        <v>3.553640336231354</v>
      </c>
      <c r="U80" s="5">
        <v>20200</v>
      </c>
    </row>
    <row r="81" spans="1:21" x14ac:dyDescent="0.2">
      <c r="A81">
        <v>213.6</v>
      </c>
      <c r="B81">
        <v>354.7</v>
      </c>
      <c r="C81">
        <v>384.6</v>
      </c>
      <c r="D81" s="28">
        <v>544.5</v>
      </c>
      <c r="E81" s="5">
        <v>3900</v>
      </c>
      <c r="G81">
        <f t="shared" si="5"/>
        <v>3.5910646070264991</v>
      </c>
      <c r="I81">
        <f t="shared" si="8"/>
        <v>2.3296012483565187</v>
      </c>
      <c r="J81">
        <f t="shared" si="3"/>
        <v>2.5498611884719429</v>
      </c>
      <c r="K81">
        <f t="shared" si="7"/>
        <v>2.5850092799024611</v>
      </c>
      <c r="L81">
        <f t="shared" si="4"/>
        <v>2.7359978840917938</v>
      </c>
      <c r="U81" s="5">
        <v>20.87</v>
      </c>
    </row>
    <row r="82" spans="1:21" x14ac:dyDescent="0.2">
      <c r="A82">
        <v>48.7</v>
      </c>
      <c r="B82">
        <v>64.099999999999994</v>
      </c>
      <c r="C82">
        <v>1428.8</v>
      </c>
      <c r="D82" s="28">
        <v>666.5</v>
      </c>
      <c r="E82" s="5">
        <v>100000</v>
      </c>
      <c r="F82">
        <v>7.0299999999999996E-4</v>
      </c>
      <c r="G82">
        <f t="shared" si="5"/>
        <v>5</v>
      </c>
      <c r="H82">
        <f t="shared" si="6"/>
        <v>-3.1530446749801762</v>
      </c>
      <c r="I82">
        <f t="shared" si="8"/>
        <v>1.6875289612146342</v>
      </c>
      <c r="J82">
        <f t="shared" si="3"/>
        <v>1.8068580295188175</v>
      </c>
      <c r="K82">
        <f t="shared" si="7"/>
        <v>3.1549714415444714</v>
      </c>
      <c r="L82">
        <f t="shared" si="4"/>
        <v>2.823800153749878</v>
      </c>
      <c r="U82" s="5">
        <v>30</v>
      </c>
    </row>
    <row r="83" spans="1:21" x14ac:dyDescent="0.2">
      <c r="A83">
        <v>170.1</v>
      </c>
      <c r="B83">
        <v>101.9</v>
      </c>
      <c r="C83">
        <v>324.60000000000002</v>
      </c>
      <c r="D83" s="28">
        <v>174.7</v>
      </c>
      <c r="E83" s="5">
        <v>1021</v>
      </c>
      <c r="G83">
        <f t="shared" si="5"/>
        <v>3.0090257420869104</v>
      </c>
      <c r="I83">
        <f t="shared" si="8"/>
        <v>2.230704313612569</v>
      </c>
      <c r="J83">
        <f t="shared" si="3"/>
        <v>2.0081741840064264</v>
      </c>
      <c r="K83">
        <f t="shared" si="7"/>
        <v>2.5113485154902131</v>
      </c>
      <c r="L83">
        <f t="shared" si="4"/>
        <v>2.2422929049829308</v>
      </c>
      <c r="U83" s="5">
        <v>37</v>
      </c>
    </row>
    <row r="84" spans="1:21" x14ac:dyDescent="0.2">
      <c r="A84">
        <v>248.8</v>
      </c>
      <c r="B84">
        <v>302.2</v>
      </c>
      <c r="C84">
        <v>1100.7</v>
      </c>
      <c r="D84" s="28">
        <v>1621.8</v>
      </c>
      <c r="E84" s="5">
        <v>19500</v>
      </c>
      <c r="G84">
        <f t="shared" si="5"/>
        <v>4.2900346113625183</v>
      </c>
      <c r="I84">
        <f t="shared" si="8"/>
        <v>2.3958503760187813</v>
      </c>
      <c r="J84">
        <f t="shared" si="3"/>
        <v>2.4802944600030066</v>
      </c>
      <c r="K84">
        <f t="shared" si="7"/>
        <v>3.0416689664756102</v>
      </c>
      <c r="L84">
        <f t="shared" si="4"/>
        <v>3.2099972960823688</v>
      </c>
      <c r="U84">
        <v>21</v>
      </c>
    </row>
    <row r="85" spans="1:21" x14ac:dyDescent="0.2">
      <c r="A85">
        <v>80.7</v>
      </c>
      <c r="B85">
        <v>45.1</v>
      </c>
      <c r="C85">
        <v>369.6</v>
      </c>
      <c r="D85" s="28">
        <v>212.8</v>
      </c>
      <c r="E85" s="5">
        <v>103750</v>
      </c>
      <c r="G85">
        <f t="shared" si="5"/>
        <v>5.01598810538413</v>
      </c>
      <c r="I85">
        <f t="shared" si="8"/>
        <v>1.9068735347220704</v>
      </c>
      <c r="J85">
        <f t="shared" si="3"/>
        <v>1.6541765418779606</v>
      </c>
      <c r="K85">
        <f t="shared" si="7"/>
        <v>2.567731962548069</v>
      </c>
      <c r="L85">
        <f t="shared" si="4"/>
        <v>2.3279716236230108</v>
      </c>
      <c r="U85" s="5">
        <v>3178000</v>
      </c>
    </row>
    <row r="86" spans="1:21" x14ac:dyDescent="0.2">
      <c r="A86">
        <v>312.55</v>
      </c>
      <c r="B86">
        <v>215.8</v>
      </c>
      <c r="C86">
        <v>969.85</v>
      </c>
      <c r="D86" s="28">
        <v>684.8</v>
      </c>
      <c r="E86">
        <v>22983.200000000001</v>
      </c>
      <c r="G86">
        <f t="shared" si="5"/>
        <v>4.3614104963100209</v>
      </c>
      <c r="I86">
        <f t="shared" si="8"/>
        <v>2.4949195032388221</v>
      </c>
      <c r="J86">
        <f t="shared" si="3"/>
        <v>2.3340514403468919</v>
      </c>
      <c r="K86">
        <f t="shared" si="7"/>
        <v>2.9867045701325075</v>
      </c>
      <c r="L86">
        <f t="shared" si="4"/>
        <v>2.8355637516690968</v>
      </c>
      <c r="U86" s="5">
        <v>4175</v>
      </c>
    </row>
    <row r="87" spans="1:21" x14ac:dyDescent="0.2">
      <c r="A87">
        <v>110.2</v>
      </c>
      <c r="B87">
        <v>175</v>
      </c>
      <c r="C87">
        <v>614.1</v>
      </c>
      <c r="D87" s="28">
        <v>2672.8</v>
      </c>
      <c r="E87" s="5">
        <v>776</v>
      </c>
      <c r="F87">
        <v>2.0339999999999998E-3</v>
      </c>
      <c r="G87">
        <f t="shared" si="5"/>
        <v>2.8898617212581885</v>
      </c>
      <c r="H87">
        <f t="shared" si="6"/>
        <v>-2.691649051413274</v>
      </c>
      <c r="I87">
        <f t="shared" si="8"/>
        <v>2.0421815945157662</v>
      </c>
      <c r="J87">
        <f t="shared" si="3"/>
        <v>2.2430380486862944</v>
      </c>
      <c r="K87">
        <f t="shared" si="7"/>
        <v>2.788239097382168</v>
      </c>
      <c r="L87">
        <f t="shared" si="4"/>
        <v>3.4269664626300749</v>
      </c>
      <c r="U87" s="5">
        <v>5200</v>
      </c>
    </row>
    <row r="88" spans="1:21" x14ac:dyDescent="0.2">
      <c r="A88">
        <v>47.548299999999998</v>
      </c>
      <c r="C88">
        <v>65.816100000000006</v>
      </c>
      <c r="D88" s="28"/>
      <c r="E88" s="5">
        <v>12000</v>
      </c>
      <c r="G88">
        <f t="shared" si="5"/>
        <v>4.0791812460476251</v>
      </c>
      <c r="I88">
        <f t="shared" si="8"/>
        <v>1.6771349941689668</v>
      </c>
      <c r="K88">
        <f t="shared" si="7"/>
        <v>1.8183321441591931</v>
      </c>
      <c r="U88" s="5">
        <v>164500</v>
      </c>
    </row>
    <row r="89" spans="1:21" x14ac:dyDescent="0.2">
      <c r="A89">
        <v>114.66</v>
      </c>
      <c r="C89">
        <v>179.49199999999999</v>
      </c>
      <c r="D89" s="28"/>
      <c r="E89" s="5">
        <v>117500</v>
      </c>
      <c r="G89">
        <f t="shared" si="5"/>
        <v>5.0700378666077555</v>
      </c>
      <c r="I89">
        <f t="shared" si="8"/>
        <v>2.0594119374386564</v>
      </c>
      <c r="K89">
        <f t="shared" si="7"/>
        <v>2.2540450967400734</v>
      </c>
      <c r="U89" s="5">
        <v>215000</v>
      </c>
    </row>
    <row r="90" spans="1:21" x14ac:dyDescent="0.2">
      <c r="A90">
        <v>4.0999999999999996</v>
      </c>
      <c r="B90">
        <v>8.6</v>
      </c>
      <c r="C90">
        <v>28.3</v>
      </c>
      <c r="D90" s="28">
        <v>27.2</v>
      </c>
      <c r="E90" s="5">
        <v>2175000</v>
      </c>
      <c r="G90">
        <f t="shared" si="5"/>
        <v>6.3374592612906557</v>
      </c>
      <c r="I90">
        <f t="shared" si="8"/>
        <v>0.61278385671973545</v>
      </c>
      <c r="J90">
        <f t="shared" si="3"/>
        <v>0.93449845124356767</v>
      </c>
      <c r="K90">
        <f t="shared" si="7"/>
        <v>1.4517864355242902</v>
      </c>
      <c r="L90">
        <f t="shared" si="4"/>
        <v>1.4345689040341987</v>
      </c>
      <c r="U90" s="5">
        <v>4132</v>
      </c>
    </row>
    <row r="91" spans="1:21" x14ac:dyDescent="0.2">
      <c r="A91">
        <v>63.3</v>
      </c>
      <c r="D91" s="28"/>
      <c r="E91" s="5">
        <v>18000</v>
      </c>
      <c r="F91">
        <v>1.665E-3</v>
      </c>
      <c r="G91">
        <f t="shared" si="5"/>
        <v>4.2552725051033065</v>
      </c>
      <c r="H91">
        <f t="shared" si="6"/>
        <v>-2.7785857621576615</v>
      </c>
      <c r="I91">
        <f t="shared" si="8"/>
        <v>1.801403710017355</v>
      </c>
      <c r="U91" s="5">
        <v>45.2</v>
      </c>
    </row>
    <row r="92" spans="1:21" x14ac:dyDescent="0.2">
      <c r="A92">
        <v>3.2</v>
      </c>
      <c r="C92">
        <v>5.15</v>
      </c>
      <c r="D92" s="28"/>
      <c r="E92" s="5">
        <v>45000</v>
      </c>
      <c r="F92">
        <v>2.5999999999999999E-3</v>
      </c>
      <c r="G92">
        <f t="shared" si="5"/>
        <v>4.653212513775344</v>
      </c>
      <c r="H92">
        <f t="shared" si="6"/>
        <v>-2.5850266520291822</v>
      </c>
      <c r="I92">
        <f t="shared" si="8"/>
        <v>0.50514997831990605</v>
      </c>
      <c r="K92">
        <f t="shared" si="7"/>
        <v>0.71180722904119109</v>
      </c>
      <c r="U92" s="5">
        <v>200000</v>
      </c>
    </row>
    <row r="93" spans="1:21" x14ac:dyDescent="0.2">
      <c r="D93" s="28"/>
      <c r="E93" s="5">
        <v>444900</v>
      </c>
      <c r="F93">
        <v>1.4E-3</v>
      </c>
      <c r="G93">
        <f t="shared" si="5"/>
        <v>5.6482624057480448</v>
      </c>
      <c r="H93">
        <f t="shared" si="6"/>
        <v>-2.8538719643217618</v>
      </c>
      <c r="U93" s="5">
        <v>87000</v>
      </c>
    </row>
    <row r="94" spans="1:21" x14ac:dyDescent="0.2">
      <c r="B94">
        <v>16.2</v>
      </c>
      <c r="D94" s="28">
        <v>25.1</v>
      </c>
      <c r="E94" s="5">
        <v>384000</v>
      </c>
      <c r="G94">
        <f t="shared" si="5"/>
        <v>5.5843312243675305</v>
      </c>
      <c r="J94">
        <f t="shared" si="3"/>
        <v>1.209515014542631</v>
      </c>
      <c r="L94">
        <f t="shared" si="4"/>
        <v>1.3996737214810382</v>
      </c>
      <c r="U94" s="5">
        <v>26500</v>
      </c>
    </row>
    <row r="95" spans="1:21" x14ac:dyDescent="0.2">
      <c r="A95">
        <v>97.421999999999997</v>
      </c>
      <c r="C95">
        <v>1981.5070000000001</v>
      </c>
      <c r="D95" s="28"/>
      <c r="E95" s="5">
        <v>46000</v>
      </c>
      <c r="G95">
        <f t="shared" si="5"/>
        <v>4.6627578316815743</v>
      </c>
      <c r="I95">
        <f>LOG10(A95)</f>
        <v>1.9886570410646158</v>
      </c>
      <c r="K95">
        <f t="shared" si="7"/>
        <v>3.2969956108897409</v>
      </c>
      <c r="U95" s="5">
        <v>17400</v>
      </c>
    </row>
    <row r="96" spans="1:21" x14ac:dyDescent="0.2">
      <c r="A96">
        <v>45.469000000000001</v>
      </c>
      <c r="C96">
        <v>228.89965000000001</v>
      </c>
      <c r="D96" s="28"/>
      <c r="E96" s="5">
        <v>43000</v>
      </c>
      <c r="G96">
        <f t="shared" si="5"/>
        <v>4.6334684555795862</v>
      </c>
      <c r="I96">
        <f>LOG10(A96)</f>
        <v>1.6577154028688956</v>
      </c>
      <c r="K96">
        <f t="shared" si="7"/>
        <v>2.3596451286151945</v>
      </c>
      <c r="U96" s="5">
        <v>700000</v>
      </c>
    </row>
    <row r="97" spans="1:21" x14ac:dyDescent="0.2">
      <c r="B97">
        <v>132</v>
      </c>
      <c r="D97" s="28">
        <v>4417</v>
      </c>
      <c r="E97" s="5">
        <v>3500</v>
      </c>
      <c r="F97">
        <v>2.0079999999999998E-3</v>
      </c>
      <c r="G97">
        <f t="shared" si="5"/>
        <v>3.5440680443502757</v>
      </c>
      <c r="H97">
        <f t="shared" si="6"/>
        <v>-2.6972362915270183</v>
      </c>
      <c r="J97">
        <f t="shared" si="3"/>
        <v>2.12057393120585</v>
      </c>
      <c r="L97">
        <f t="shared" si="4"/>
        <v>3.6451273992583912</v>
      </c>
      <c r="U97">
        <v>3940034</v>
      </c>
    </row>
    <row r="98" spans="1:21" x14ac:dyDescent="0.2">
      <c r="A98">
        <v>138.59800000000001</v>
      </c>
      <c r="C98">
        <v>272.02499999999998</v>
      </c>
      <c r="D98" s="28"/>
      <c r="E98">
        <v>235</v>
      </c>
      <c r="F98">
        <v>4.7999999999999996E-3</v>
      </c>
      <c r="G98">
        <f t="shared" si="5"/>
        <v>2.3710678622717363</v>
      </c>
      <c r="H98">
        <f t="shared" si="6"/>
        <v>-2.3187587626244128</v>
      </c>
      <c r="I98">
        <f>LOG10(A98)</f>
        <v>2.1417569633549314</v>
      </c>
      <c r="K98">
        <f t="shared" si="7"/>
        <v>2.4346088189721344</v>
      </c>
      <c r="U98" s="5">
        <v>444900</v>
      </c>
    </row>
    <row r="99" spans="1:21" x14ac:dyDescent="0.2">
      <c r="A99">
        <v>83.043000000000006</v>
      </c>
      <c r="C99">
        <v>184.65899999999999</v>
      </c>
      <c r="D99" s="28"/>
      <c r="E99" s="5">
        <v>177500</v>
      </c>
      <c r="G99">
        <f t="shared" si="5"/>
        <v>5.249198357391113</v>
      </c>
      <c r="I99">
        <f>LOG10(A99)</f>
        <v>1.9193030300505234</v>
      </c>
      <c r="K99">
        <f t="shared" si="7"/>
        <v>2.2663704793581578</v>
      </c>
      <c r="U99" s="5">
        <v>384000</v>
      </c>
    </row>
    <row r="100" spans="1:21" x14ac:dyDescent="0.2">
      <c r="D100" s="28"/>
      <c r="E100" s="5">
        <v>101250</v>
      </c>
      <c r="F100">
        <v>1.408E-3</v>
      </c>
      <c r="G100">
        <f t="shared" si="5"/>
        <v>5.0053950318867058</v>
      </c>
      <c r="H100">
        <f t="shared" si="6"/>
        <v>-2.8513973451939068</v>
      </c>
      <c r="U100" s="5">
        <v>3500</v>
      </c>
    </row>
    <row r="101" spans="1:21" x14ac:dyDescent="0.2">
      <c r="D101" s="28"/>
      <c r="E101" s="5">
        <v>101250</v>
      </c>
      <c r="F101">
        <v>1.408E-3</v>
      </c>
      <c r="G101">
        <f t="shared" si="5"/>
        <v>5.0053950318867058</v>
      </c>
      <c r="H101">
        <f t="shared" si="6"/>
        <v>-2.8513973451939068</v>
      </c>
      <c r="U101" s="5">
        <v>101250</v>
      </c>
    </row>
    <row r="102" spans="1:21" x14ac:dyDescent="0.2">
      <c r="A102">
        <v>19.042999999999999</v>
      </c>
      <c r="C102">
        <v>112.455</v>
      </c>
      <c r="D102" s="28"/>
      <c r="E102" s="5">
        <v>277500</v>
      </c>
      <c r="G102">
        <f t="shared" si="5"/>
        <v>5.4432629874586951</v>
      </c>
      <c r="I102">
        <f>LOG10(A102)</f>
        <v>1.2797353674105019</v>
      </c>
      <c r="K102">
        <f t="shared" si="7"/>
        <v>2.0509787699017936</v>
      </c>
      <c r="U102" s="5">
        <v>101250</v>
      </c>
    </row>
    <row r="103" spans="1:21" x14ac:dyDescent="0.2">
      <c r="D103" s="28"/>
    </row>
    <row r="104" spans="1:21" x14ac:dyDescent="0.2">
      <c r="D104" s="28"/>
    </row>
    <row r="105" spans="1:21" x14ac:dyDescent="0.2">
      <c r="D105" s="28"/>
    </row>
    <row r="222" spans="5:21" x14ac:dyDescent="0.2">
      <c r="E222" s="2"/>
      <c r="U222" s="2"/>
    </row>
  </sheetData>
  <sortState xmlns:xlrd2="http://schemas.microsoft.com/office/spreadsheetml/2017/richdata2" ref="T2:U222">
    <sortCondition ref="T2:T222"/>
  </sortState>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5C950-2608-9F44-B9DD-3F655B2582DB}">
  <dimension ref="A1:AT386"/>
  <sheetViews>
    <sheetView zoomScale="64" zoomScaleNormal="81" workbookViewId="0">
      <selection activeCell="E7" sqref="E7"/>
    </sheetView>
  </sheetViews>
  <sheetFormatPr baseColWidth="10" defaultColWidth="11" defaultRowHeight="15.75" customHeight="1" x14ac:dyDescent="0.2"/>
  <cols>
    <col min="2" max="2" width="29.33203125" style="3" customWidth="1"/>
    <col min="3" max="3" width="17.83203125" customWidth="1"/>
    <col min="4" max="4" width="24.1640625" customWidth="1"/>
    <col min="5" max="5" width="16.6640625" customWidth="1"/>
    <col min="6" max="7" width="22.6640625" style="2" customWidth="1"/>
    <col min="8" max="8" width="19.33203125" style="2" customWidth="1"/>
    <col min="9" max="16" width="21.1640625" style="2" customWidth="1"/>
    <col min="17" max="17" width="15.33203125" style="2" customWidth="1"/>
    <col min="18" max="18" width="15.33203125" customWidth="1"/>
    <col min="19" max="19" width="15.83203125" customWidth="1"/>
    <col min="20" max="20" width="21.5" customWidth="1"/>
    <col min="21" max="21" width="13.83203125" customWidth="1"/>
    <col min="22" max="22" width="32.33203125" style="2" customWidth="1"/>
    <col min="23" max="23" width="15" style="2" customWidth="1"/>
    <col min="24" max="24" width="18" customWidth="1"/>
    <col min="26" max="26" width="19.5" customWidth="1"/>
    <col min="27" max="27" width="14.33203125" style="2" customWidth="1"/>
    <col min="28" max="28" width="151.83203125" style="23" customWidth="1"/>
    <col min="29" max="29" width="117.83203125" customWidth="1"/>
    <col min="46" max="46" width="61.33203125" customWidth="1"/>
  </cols>
  <sheetData>
    <row r="1" spans="1:46" ht="16" x14ac:dyDescent="0.2">
      <c r="C1" s="43" t="s">
        <v>0</v>
      </c>
      <c r="D1" s="11"/>
      <c r="E1" s="11"/>
      <c r="F1" s="11"/>
      <c r="G1" s="11"/>
      <c r="H1" s="11"/>
      <c r="I1" s="21"/>
      <c r="J1" s="53" t="s">
        <v>0</v>
      </c>
      <c r="K1" s="54" t="s">
        <v>1</v>
      </c>
      <c r="L1" s="54"/>
      <c r="M1" s="54"/>
      <c r="N1" s="54"/>
      <c r="O1" s="54"/>
      <c r="P1" s="55"/>
      <c r="Q1" s="37" t="s">
        <v>2</v>
      </c>
      <c r="R1" s="38"/>
      <c r="S1" s="38"/>
      <c r="T1" s="38"/>
      <c r="U1" s="38"/>
      <c r="V1" s="39"/>
      <c r="W1" s="40" t="s">
        <v>3</v>
      </c>
      <c r="X1" s="41"/>
      <c r="Y1" s="41"/>
      <c r="Z1" s="41"/>
      <c r="AA1" s="42"/>
      <c r="AB1" s="44" t="s">
        <v>4</v>
      </c>
      <c r="AC1" s="46" t="s">
        <v>5</v>
      </c>
    </row>
    <row r="2" spans="1:46" s="1" customFormat="1" ht="16" x14ac:dyDescent="0.2">
      <c r="A2" s="1" t="s">
        <v>6</v>
      </c>
      <c r="B2" s="9" t="s">
        <v>7</v>
      </c>
      <c r="C2" s="1" t="s">
        <v>8</v>
      </c>
      <c r="D2" s="1" t="s">
        <v>9</v>
      </c>
      <c r="E2" s="1" t="s">
        <v>10</v>
      </c>
      <c r="F2" s="48" t="s">
        <v>11</v>
      </c>
      <c r="G2" s="1" t="s">
        <v>12</v>
      </c>
      <c r="H2" s="1" t="s">
        <v>13</v>
      </c>
      <c r="I2" s="4" t="s">
        <v>14</v>
      </c>
      <c r="J2" s="15" t="s">
        <v>8</v>
      </c>
      <c r="K2" s="15" t="s">
        <v>9</v>
      </c>
      <c r="L2" s="15" t="s">
        <v>10</v>
      </c>
      <c r="M2" s="51" t="s">
        <v>11</v>
      </c>
      <c r="N2" s="15" t="s">
        <v>12</v>
      </c>
      <c r="O2" s="15" t="s">
        <v>13</v>
      </c>
      <c r="P2" s="16" t="s">
        <v>14</v>
      </c>
      <c r="Q2" s="1" t="s">
        <v>15</v>
      </c>
      <c r="R2" s="1" t="s">
        <v>16</v>
      </c>
      <c r="S2" s="1" t="s">
        <v>17</v>
      </c>
      <c r="T2" s="1" t="s">
        <v>18</v>
      </c>
      <c r="U2" s="1" t="s">
        <v>19</v>
      </c>
      <c r="V2" s="4" t="s">
        <v>20</v>
      </c>
      <c r="W2" s="1" t="s">
        <v>21</v>
      </c>
      <c r="X2" s="1" t="s">
        <v>22</v>
      </c>
      <c r="Y2" s="1" t="s">
        <v>23</v>
      </c>
      <c r="Z2" s="1" t="s">
        <v>24</v>
      </c>
      <c r="AA2" s="4" t="s">
        <v>25</v>
      </c>
      <c r="AB2" s="45"/>
      <c r="AC2" s="47"/>
      <c r="AD2" s="1" t="s">
        <v>26</v>
      </c>
      <c r="AT2" s="1" t="s">
        <v>27</v>
      </c>
    </row>
    <row r="3" spans="1:46" ht="14" customHeight="1" x14ac:dyDescent="0.2">
      <c r="A3" t="s">
        <v>28</v>
      </c>
      <c r="B3" s="3" t="s">
        <v>29</v>
      </c>
      <c r="F3" s="28"/>
      <c r="G3"/>
      <c r="H3" t="s">
        <v>30</v>
      </c>
      <c r="I3" s="2">
        <v>1650</v>
      </c>
      <c r="J3" s="13"/>
      <c r="K3" s="13"/>
      <c r="L3" s="13"/>
      <c r="M3" s="52"/>
      <c r="N3" s="13"/>
      <c r="O3" s="13">
        <v>247.15100000000001</v>
      </c>
      <c r="P3" s="18">
        <v>660</v>
      </c>
      <c r="Q3" t="s">
        <v>31</v>
      </c>
      <c r="R3">
        <v>1</v>
      </c>
      <c r="S3" t="s">
        <v>32</v>
      </c>
      <c r="T3" t="s">
        <v>33</v>
      </c>
      <c r="U3">
        <v>8025</v>
      </c>
      <c r="V3" s="2" t="s">
        <v>34</v>
      </c>
      <c r="W3"/>
      <c r="X3" s="5">
        <v>7000</v>
      </c>
      <c r="AA3" s="2" t="s">
        <v>35</v>
      </c>
      <c r="AB3" s="23" t="s">
        <v>36</v>
      </c>
      <c r="AC3" s="8" t="s">
        <v>37</v>
      </c>
      <c r="AT3" t="s">
        <v>38</v>
      </c>
    </row>
    <row r="4" spans="1:46" ht="14" customHeight="1" x14ac:dyDescent="0.2">
      <c r="B4" s="3" t="s">
        <v>39</v>
      </c>
      <c r="C4">
        <v>20.6</v>
      </c>
      <c r="F4" s="28"/>
      <c r="G4"/>
      <c r="H4"/>
      <c r="J4" s="13">
        <v>8.24</v>
      </c>
      <c r="K4" s="13"/>
      <c r="L4" s="13"/>
      <c r="M4" s="52"/>
      <c r="N4" s="13"/>
      <c r="O4" s="13"/>
      <c r="P4" s="18"/>
      <c r="Q4" t="s">
        <v>40</v>
      </c>
      <c r="S4" t="s">
        <v>35</v>
      </c>
      <c r="T4" t="s">
        <v>33</v>
      </c>
      <c r="V4" s="2" t="s">
        <v>34</v>
      </c>
      <c r="W4">
        <v>20</v>
      </c>
      <c r="X4" s="5">
        <v>750000</v>
      </c>
      <c r="Y4">
        <v>8.8400000000000002E-4</v>
      </c>
      <c r="Z4">
        <v>38</v>
      </c>
      <c r="AC4" s="8"/>
      <c r="AT4" t="s">
        <v>41</v>
      </c>
    </row>
    <row r="5" spans="1:46" ht="16" x14ac:dyDescent="0.2">
      <c r="B5" s="3" t="s">
        <v>39</v>
      </c>
      <c r="F5" s="28"/>
      <c r="G5"/>
      <c r="H5">
        <v>96.4</v>
      </c>
      <c r="J5" s="35"/>
      <c r="K5" s="35"/>
      <c r="L5" s="35"/>
      <c r="M5" s="56"/>
      <c r="N5" s="35"/>
      <c r="O5" s="35">
        <v>96.4</v>
      </c>
      <c r="P5" s="57"/>
      <c r="Q5" t="s">
        <v>31</v>
      </c>
      <c r="R5">
        <v>1</v>
      </c>
      <c r="S5" t="s">
        <v>35</v>
      </c>
      <c r="V5" s="2" t="s">
        <v>42</v>
      </c>
      <c r="W5">
        <v>20</v>
      </c>
      <c r="X5" s="5">
        <v>750000</v>
      </c>
      <c r="Y5">
        <v>8.8400000000000002E-4</v>
      </c>
      <c r="Z5">
        <v>38</v>
      </c>
      <c r="AB5" s="23" t="s">
        <v>43</v>
      </c>
      <c r="AC5" t="s">
        <v>44</v>
      </c>
    </row>
    <row r="6" spans="1:46" ht="16" x14ac:dyDescent="0.2">
      <c r="B6" s="3" t="s">
        <v>45</v>
      </c>
      <c r="F6" s="28"/>
      <c r="G6"/>
      <c r="H6">
        <v>124</v>
      </c>
      <c r="I6" s="2">
        <v>1096</v>
      </c>
      <c r="J6" s="35"/>
      <c r="K6" s="35"/>
      <c r="L6" s="35"/>
      <c r="M6" s="56"/>
      <c r="N6" s="35"/>
      <c r="O6" s="35">
        <v>124</v>
      </c>
      <c r="P6" s="57">
        <v>1096</v>
      </c>
      <c r="Q6" t="s">
        <v>31</v>
      </c>
      <c r="R6">
        <v>1</v>
      </c>
      <c r="S6" t="s">
        <v>46</v>
      </c>
      <c r="V6" s="2" t="s">
        <v>34</v>
      </c>
      <c r="W6">
        <v>20.8</v>
      </c>
      <c r="X6" s="5">
        <v>61000</v>
      </c>
      <c r="Z6">
        <v>39.299999999999997</v>
      </c>
      <c r="AB6" s="23" t="s">
        <v>47</v>
      </c>
      <c r="AC6" t="s">
        <v>48</v>
      </c>
    </row>
    <row r="7" spans="1:46" ht="16" x14ac:dyDescent="0.2">
      <c r="B7" s="20" t="s">
        <v>49</v>
      </c>
      <c r="C7">
        <v>1054</v>
      </c>
      <c r="E7" s="5" t="s">
        <v>50</v>
      </c>
      <c r="F7" s="28"/>
      <c r="G7"/>
      <c r="H7"/>
      <c r="J7" s="13">
        <v>1054</v>
      </c>
      <c r="K7" s="13"/>
      <c r="L7" s="19" t="s">
        <v>50</v>
      </c>
      <c r="M7" s="52"/>
      <c r="N7" s="13"/>
      <c r="O7" s="13"/>
      <c r="P7" s="18"/>
      <c r="Q7" t="s">
        <v>31</v>
      </c>
      <c r="R7">
        <v>1</v>
      </c>
      <c r="S7" t="s">
        <v>46</v>
      </c>
      <c r="T7" t="s">
        <v>51</v>
      </c>
      <c r="U7">
        <v>1500</v>
      </c>
      <c r="V7" s="2" t="s">
        <v>34</v>
      </c>
      <c r="W7" s="24"/>
      <c r="X7" s="5">
        <v>1600</v>
      </c>
      <c r="Y7">
        <v>4.1840000000000002E-3</v>
      </c>
      <c r="Z7">
        <v>39.799999999999997</v>
      </c>
      <c r="AC7" s="8" t="s">
        <v>52</v>
      </c>
    </row>
    <row r="8" spans="1:46" ht="16" x14ac:dyDescent="0.2">
      <c r="B8" s="3" t="s">
        <v>53</v>
      </c>
      <c r="F8" s="28"/>
      <c r="G8"/>
      <c r="H8">
        <v>530</v>
      </c>
      <c r="I8" s="2">
        <v>4610</v>
      </c>
      <c r="J8" s="13"/>
      <c r="K8" s="13"/>
      <c r="L8" s="13"/>
      <c r="M8" s="52"/>
      <c r="N8" s="13"/>
      <c r="O8" s="13">
        <v>530</v>
      </c>
      <c r="P8" s="18">
        <v>4610</v>
      </c>
      <c r="Q8" t="s">
        <v>31</v>
      </c>
      <c r="R8">
        <v>1</v>
      </c>
      <c r="S8" t="s">
        <v>46</v>
      </c>
      <c r="T8" t="s">
        <v>51</v>
      </c>
      <c r="V8" s="2" t="s">
        <v>54</v>
      </c>
      <c r="W8" s="24">
        <v>24.3</v>
      </c>
      <c r="X8" s="5">
        <v>164500</v>
      </c>
      <c r="Y8">
        <v>1.1709999999999999E-3</v>
      </c>
      <c r="Z8">
        <v>38</v>
      </c>
      <c r="AC8" s="49" t="s">
        <v>55</v>
      </c>
    </row>
    <row r="9" spans="1:46" ht="16" x14ac:dyDescent="0.2">
      <c r="B9" s="3" t="s">
        <v>56</v>
      </c>
      <c r="F9" s="28"/>
      <c r="G9"/>
      <c r="H9">
        <v>43.5</v>
      </c>
      <c r="I9" s="2">
        <v>245.8</v>
      </c>
      <c r="J9" s="13"/>
      <c r="K9" s="13"/>
      <c r="L9" s="13"/>
      <c r="M9" s="52"/>
      <c r="N9" s="13"/>
      <c r="O9" s="13">
        <v>17.399999999999999</v>
      </c>
      <c r="P9" s="18">
        <v>98.32</v>
      </c>
      <c r="Q9" t="s">
        <v>31</v>
      </c>
      <c r="R9">
        <v>1</v>
      </c>
      <c r="S9" t="s">
        <v>46</v>
      </c>
      <c r="T9" t="s">
        <v>33</v>
      </c>
      <c r="W9">
        <v>42.3</v>
      </c>
      <c r="X9" s="5">
        <v>215000</v>
      </c>
      <c r="AC9" t="s">
        <v>57</v>
      </c>
    </row>
    <row r="10" spans="1:46" ht="16" x14ac:dyDescent="0.2">
      <c r="B10" s="3" t="s">
        <v>58</v>
      </c>
      <c r="C10">
        <v>60.92</v>
      </c>
      <c r="E10">
        <v>459</v>
      </c>
      <c r="F10" s="28"/>
      <c r="G10"/>
      <c r="H10"/>
      <c r="J10" s="13">
        <v>24.367999999999999</v>
      </c>
      <c r="K10" s="13"/>
      <c r="L10" s="13">
        <v>183.6</v>
      </c>
      <c r="M10" s="52"/>
      <c r="N10" s="13"/>
      <c r="O10" s="13"/>
      <c r="P10" s="18"/>
      <c r="Q10" t="s">
        <v>31</v>
      </c>
      <c r="R10">
        <v>1</v>
      </c>
      <c r="S10" t="s">
        <v>46</v>
      </c>
      <c r="T10" t="s">
        <v>33</v>
      </c>
      <c r="W10">
        <v>17.5</v>
      </c>
      <c r="X10" s="5">
        <v>21667</v>
      </c>
      <c r="Y10">
        <v>2.1559999999999999E-3</v>
      </c>
      <c r="AB10" s="23" t="s">
        <v>59</v>
      </c>
      <c r="AC10" s="8" t="s">
        <v>60</v>
      </c>
    </row>
    <row r="11" spans="1:46" ht="16" x14ac:dyDescent="0.2">
      <c r="B11" s="3" t="s">
        <v>61</v>
      </c>
      <c r="C11">
        <v>349.23</v>
      </c>
      <c r="F11" s="28"/>
      <c r="G11"/>
      <c r="H11"/>
      <c r="J11" s="13">
        <v>349.23</v>
      </c>
      <c r="K11" s="13"/>
      <c r="L11" s="13"/>
      <c r="M11" s="52"/>
      <c r="N11" s="13"/>
      <c r="O11" s="13"/>
      <c r="P11" s="18"/>
      <c r="Q11" t="s">
        <v>31</v>
      </c>
      <c r="R11">
        <v>1</v>
      </c>
      <c r="S11" t="s">
        <v>35</v>
      </c>
      <c r="T11" t="s">
        <v>51</v>
      </c>
      <c r="U11">
        <v>992.8</v>
      </c>
      <c r="W11">
        <v>12</v>
      </c>
      <c r="X11">
        <v>728</v>
      </c>
      <c r="Y11">
        <v>3.333E-3</v>
      </c>
      <c r="Z11">
        <v>39</v>
      </c>
      <c r="AB11" s="23" t="s">
        <v>62</v>
      </c>
      <c r="AC11" t="s">
        <v>63</v>
      </c>
    </row>
    <row r="12" spans="1:46" ht="17" customHeight="1" x14ac:dyDescent="0.2">
      <c r="A12" t="s">
        <v>28</v>
      </c>
      <c r="B12" s="3" t="s">
        <v>64</v>
      </c>
      <c r="C12">
        <v>7860</v>
      </c>
      <c r="E12">
        <v>121250</v>
      </c>
      <c r="F12" s="28"/>
      <c r="G12"/>
      <c r="H12"/>
      <c r="J12" s="13">
        <v>7860</v>
      </c>
      <c r="K12" s="13"/>
      <c r="L12" s="13">
        <v>121250</v>
      </c>
      <c r="M12" s="52"/>
      <c r="N12" s="13"/>
      <c r="O12" s="13"/>
      <c r="P12" s="18"/>
      <c r="Q12" t="s">
        <v>31</v>
      </c>
      <c r="R12">
        <v>2</v>
      </c>
      <c r="S12" t="s">
        <v>46</v>
      </c>
      <c r="T12" t="s">
        <v>51</v>
      </c>
      <c r="V12" s="2" t="s">
        <v>34</v>
      </c>
      <c r="W12">
        <v>46</v>
      </c>
      <c r="X12" s="5">
        <v>2643</v>
      </c>
      <c r="AC12" t="s">
        <v>65</v>
      </c>
    </row>
    <row r="13" spans="1:46" ht="17" customHeight="1" x14ac:dyDescent="0.2">
      <c r="A13" t="s">
        <v>28</v>
      </c>
      <c r="B13" s="3" t="s">
        <v>66</v>
      </c>
      <c r="C13">
        <v>35.5</v>
      </c>
      <c r="E13">
        <v>188.5</v>
      </c>
      <c r="F13" s="28"/>
      <c r="G13"/>
      <c r="H13"/>
      <c r="J13" s="13">
        <v>35.5</v>
      </c>
      <c r="K13" s="13"/>
      <c r="L13" s="13">
        <v>188.5</v>
      </c>
      <c r="M13" s="52"/>
      <c r="N13" s="13"/>
      <c r="O13" s="13"/>
      <c r="P13" s="18"/>
      <c r="Q13" t="s">
        <v>31</v>
      </c>
      <c r="R13">
        <v>2</v>
      </c>
      <c r="S13" t="s">
        <v>46</v>
      </c>
      <c r="T13" t="s">
        <v>51</v>
      </c>
      <c r="V13" s="2" t="s">
        <v>34</v>
      </c>
      <c r="W13">
        <v>38</v>
      </c>
      <c r="X13" s="5">
        <v>5735</v>
      </c>
      <c r="AB13" s="23" t="s">
        <v>67</v>
      </c>
      <c r="AC13" t="s">
        <v>68</v>
      </c>
    </row>
    <row r="14" spans="1:46" ht="17" customHeight="1" x14ac:dyDescent="0.2">
      <c r="A14" t="s">
        <v>28</v>
      </c>
      <c r="B14" s="3" t="s">
        <v>69</v>
      </c>
      <c r="C14">
        <v>420</v>
      </c>
      <c r="E14">
        <v>1940</v>
      </c>
      <c r="F14" s="28"/>
      <c r="G14"/>
      <c r="H14"/>
      <c r="J14" s="13">
        <v>168</v>
      </c>
      <c r="K14" s="13"/>
      <c r="L14" s="13">
        <v>776</v>
      </c>
      <c r="M14" s="52"/>
      <c r="N14" s="13"/>
      <c r="O14" s="13"/>
      <c r="P14" s="18"/>
      <c r="Q14" t="s">
        <v>31</v>
      </c>
      <c r="R14">
        <v>2</v>
      </c>
      <c r="S14" t="s">
        <v>70</v>
      </c>
      <c r="T14" t="s">
        <v>33</v>
      </c>
      <c r="W14">
        <v>18.2</v>
      </c>
      <c r="X14">
        <v>64.8</v>
      </c>
      <c r="AA14" s="2" t="s">
        <v>35</v>
      </c>
      <c r="AB14" s="23" t="s">
        <v>71</v>
      </c>
      <c r="AC14" s="8" t="s">
        <v>72</v>
      </c>
    </row>
    <row r="15" spans="1:46" ht="16" x14ac:dyDescent="0.2">
      <c r="B15" s="3" t="s">
        <v>45</v>
      </c>
      <c r="F15" s="28"/>
      <c r="G15"/>
      <c r="H15">
        <v>316</v>
      </c>
      <c r="I15" s="2">
        <v>2423</v>
      </c>
      <c r="J15" s="35"/>
      <c r="K15" s="35"/>
      <c r="L15" s="35"/>
      <c r="M15" s="56"/>
      <c r="N15" s="35"/>
      <c r="O15" s="35">
        <v>316</v>
      </c>
      <c r="P15" s="35">
        <v>2423</v>
      </c>
      <c r="Q15" s="24" t="s">
        <v>31</v>
      </c>
      <c r="R15">
        <v>4</v>
      </c>
      <c r="S15" t="s">
        <v>46</v>
      </c>
      <c r="V15" t="s">
        <v>34</v>
      </c>
      <c r="W15" s="24">
        <v>20.8</v>
      </c>
      <c r="X15" s="5">
        <v>61000</v>
      </c>
      <c r="Z15">
        <v>39.299999999999997</v>
      </c>
      <c r="AB15" s="23" t="s">
        <v>73</v>
      </c>
      <c r="AC15" t="s">
        <v>48</v>
      </c>
    </row>
    <row r="16" spans="1:46" ht="16" x14ac:dyDescent="0.2">
      <c r="B16" s="29" t="s">
        <v>74</v>
      </c>
      <c r="F16" s="28"/>
      <c r="G16"/>
      <c r="H16">
        <v>54.6</v>
      </c>
      <c r="I16" s="2">
        <v>88.2</v>
      </c>
      <c r="J16" s="13"/>
      <c r="K16" s="13"/>
      <c r="L16" s="13"/>
      <c r="M16" s="52"/>
      <c r="N16" s="13"/>
      <c r="O16" s="13">
        <v>54.6</v>
      </c>
      <c r="P16" s="18">
        <v>88.2</v>
      </c>
      <c r="Q16" t="s">
        <v>31</v>
      </c>
      <c r="R16">
        <v>4</v>
      </c>
      <c r="S16" t="s">
        <v>46</v>
      </c>
      <c r="T16" t="s">
        <v>51</v>
      </c>
      <c r="V16" s="2" t="s">
        <v>34</v>
      </c>
      <c r="W16">
        <v>18</v>
      </c>
      <c r="X16" s="5">
        <v>4175</v>
      </c>
      <c r="Y16">
        <v>2.8010000000000001E-3</v>
      </c>
      <c r="Z16">
        <v>39.700000000000003</v>
      </c>
      <c r="AB16" s="23" t="s">
        <v>75</v>
      </c>
      <c r="AC16" t="s">
        <v>76</v>
      </c>
    </row>
    <row r="17" spans="1:29" ht="16" x14ac:dyDescent="0.2">
      <c r="B17" s="3" t="s">
        <v>77</v>
      </c>
      <c r="F17" s="28"/>
      <c r="G17"/>
      <c r="H17">
        <v>204.55</v>
      </c>
      <c r="I17" s="2">
        <v>346</v>
      </c>
      <c r="J17" s="13"/>
      <c r="K17" s="13"/>
      <c r="L17" s="13"/>
      <c r="M17" s="52"/>
      <c r="N17" s="13"/>
      <c r="O17" s="13">
        <v>204.55</v>
      </c>
      <c r="P17" s="18">
        <v>346</v>
      </c>
      <c r="Q17" t="s">
        <v>31</v>
      </c>
      <c r="R17">
        <v>4</v>
      </c>
      <c r="S17" t="s">
        <v>46</v>
      </c>
      <c r="T17" t="s">
        <v>51</v>
      </c>
      <c r="V17" s="2" t="s">
        <v>34</v>
      </c>
      <c r="W17">
        <v>3.9</v>
      </c>
      <c r="X17">
        <v>105</v>
      </c>
      <c r="Y17">
        <v>6.3769999999999999E-3</v>
      </c>
      <c r="Z17">
        <v>38.1</v>
      </c>
      <c r="AB17" s="23" t="s">
        <v>78</v>
      </c>
      <c r="AC17" t="s">
        <v>79</v>
      </c>
    </row>
    <row r="18" spans="1:29" ht="16" x14ac:dyDescent="0.2">
      <c r="B18" s="3" t="s">
        <v>53</v>
      </c>
      <c r="F18" s="28"/>
      <c r="G18"/>
      <c r="H18">
        <v>1050</v>
      </c>
      <c r="I18" s="2">
        <v>4270</v>
      </c>
      <c r="J18" s="35"/>
      <c r="K18" s="35"/>
      <c r="L18" s="35"/>
      <c r="M18" s="56"/>
      <c r="N18" s="35"/>
      <c r="O18" s="35">
        <v>1050</v>
      </c>
      <c r="P18" s="57">
        <v>4270</v>
      </c>
      <c r="Q18" t="s">
        <v>31</v>
      </c>
      <c r="R18">
        <v>4</v>
      </c>
      <c r="S18" t="s">
        <v>46</v>
      </c>
      <c r="V18" s="2" t="s">
        <v>54</v>
      </c>
      <c r="W18">
        <v>24.3</v>
      </c>
      <c r="X18" s="5">
        <v>164500</v>
      </c>
      <c r="Y18">
        <v>1.1709999999999999E-3</v>
      </c>
      <c r="Z18">
        <v>38</v>
      </c>
      <c r="AC18" s="49" t="s">
        <v>80</v>
      </c>
    </row>
    <row r="19" spans="1:29" ht="16" x14ac:dyDescent="0.2">
      <c r="B19" s="3" t="s">
        <v>81</v>
      </c>
      <c r="F19" s="28"/>
      <c r="G19"/>
      <c r="H19">
        <v>84.5</v>
      </c>
      <c r="I19" s="2">
        <v>1638.53</v>
      </c>
      <c r="J19" s="13"/>
      <c r="K19" s="13"/>
      <c r="L19" s="13"/>
      <c r="M19" s="52"/>
      <c r="N19" s="13"/>
      <c r="O19" s="13">
        <v>84.5</v>
      </c>
      <c r="P19" s="18">
        <v>1638.53</v>
      </c>
      <c r="Q19" t="s">
        <v>31</v>
      </c>
      <c r="R19">
        <v>4</v>
      </c>
      <c r="S19" t="s">
        <v>46</v>
      </c>
      <c r="T19" t="s">
        <v>35</v>
      </c>
      <c r="V19" s="2" t="s">
        <v>35</v>
      </c>
      <c r="W19">
        <v>12.7</v>
      </c>
      <c r="X19" s="5">
        <v>6500</v>
      </c>
      <c r="Y19">
        <v>1.562E-3</v>
      </c>
      <c r="Z19">
        <v>38.200000000000003</v>
      </c>
      <c r="AC19" s="49" t="s">
        <v>82</v>
      </c>
    </row>
    <row r="20" spans="1:29" ht="16" x14ac:dyDescent="0.2">
      <c r="B20" s="3" t="s">
        <v>83</v>
      </c>
      <c r="F20" s="28"/>
      <c r="G20"/>
      <c r="H20">
        <v>181.5</v>
      </c>
      <c r="I20" s="2">
        <v>770.5</v>
      </c>
      <c r="J20" s="13"/>
      <c r="K20" s="13"/>
      <c r="L20" s="13"/>
      <c r="M20" s="52"/>
      <c r="N20" s="13"/>
      <c r="O20" s="13">
        <v>181.5</v>
      </c>
      <c r="P20" s="18">
        <v>770.5</v>
      </c>
      <c r="Q20" t="s">
        <v>31</v>
      </c>
      <c r="R20">
        <v>4</v>
      </c>
      <c r="S20" t="s">
        <v>46</v>
      </c>
      <c r="T20" t="s">
        <v>51</v>
      </c>
      <c r="V20" s="2" t="s">
        <v>84</v>
      </c>
      <c r="W20">
        <v>14.8</v>
      </c>
      <c r="X20" s="5">
        <v>17000</v>
      </c>
      <c r="AC20" t="s">
        <v>85</v>
      </c>
    </row>
    <row r="21" spans="1:29" ht="16" x14ac:dyDescent="0.2">
      <c r="B21" s="3" t="s">
        <v>86</v>
      </c>
      <c r="F21" s="28"/>
      <c r="G21"/>
      <c r="H21">
        <v>130.333</v>
      </c>
      <c r="J21" s="13"/>
      <c r="K21" s="13"/>
      <c r="L21" s="13"/>
      <c r="M21" s="52"/>
      <c r="N21" s="13"/>
      <c r="O21" s="13">
        <v>130.333</v>
      </c>
      <c r="P21" s="18"/>
      <c r="Q21" t="s">
        <v>31</v>
      </c>
      <c r="R21">
        <v>4</v>
      </c>
      <c r="S21" t="s">
        <v>35</v>
      </c>
      <c r="T21" t="s">
        <v>51</v>
      </c>
      <c r="V21" s="2" t="s">
        <v>84</v>
      </c>
      <c r="W21" s="24">
        <v>13.7</v>
      </c>
      <c r="X21" s="5">
        <v>102500</v>
      </c>
      <c r="AB21" s="23" t="s">
        <v>87</v>
      </c>
      <c r="AC21" t="s">
        <v>85</v>
      </c>
    </row>
    <row r="22" spans="1:29" ht="16" x14ac:dyDescent="0.2">
      <c r="B22" s="3" t="s">
        <v>88</v>
      </c>
      <c r="F22" s="28"/>
      <c r="G22"/>
      <c r="H22">
        <v>1077.33</v>
      </c>
      <c r="I22" s="2">
        <v>1838.98</v>
      </c>
      <c r="J22" s="35"/>
      <c r="K22" s="35"/>
      <c r="L22" s="35"/>
      <c r="M22" s="56"/>
      <c r="N22" s="35"/>
      <c r="O22" s="35">
        <v>1077.33</v>
      </c>
      <c r="P22" s="57">
        <v>1838.98</v>
      </c>
      <c r="Q22" t="s">
        <v>31</v>
      </c>
      <c r="R22">
        <v>4</v>
      </c>
      <c r="S22" t="s">
        <v>46</v>
      </c>
      <c r="V22" s="2" t="s">
        <v>89</v>
      </c>
      <c r="W22">
        <v>5.9</v>
      </c>
      <c r="X22" s="5">
        <v>45.2</v>
      </c>
      <c r="Y22">
        <v>6.143E-3</v>
      </c>
      <c r="Z22">
        <v>37.5</v>
      </c>
      <c r="AB22" s="23" t="s">
        <v>90</v>
      </c>
      <c r="AC22" t="s">
        <v>91</v>
      </c>
    </row>
    <row r="23" spans="1:29" ht="16" x14ac:dyDescent="0.2">
      <c r="B23" s="3" t="s">
        <v>92</v>
      </c>
      <c r="C23">
        <v>2625</v>
      </c>
      <c r="E23">
        <v>3748</v>
      </c>
      <c r="F23" s="28"/>
      <c r="G23"/>
      <c r="H23"/>
      <c r="J23" s="35">
        <v>2625</v>
      </c>
      <c r="K23" s="35"/>
      <c r="L23" s="35">
        <v>3748</v>
      </c>
      <c r="M23" s="56"/>
      <c r="N23" s="35"/>
      <c r="O23" s="35"/>
      <c r="P23" s="57"/>
      <c r="Q23" t="s">
        <v>31</v>
      </c>
      <c r="R23">
        <v>4</v>
      </c>
      <c r="S23" t="s">
        <v>46</v>
      </c>
      <c r="V23" s="2" t="s">
        <v>34</v>
      </c>
      <c r="W23">
        <v>19</v>
      </c>
      <c r="X23" s="5">
        <v>4500</v>
      </c>
      <c r="Y23">
        <v>1.433E-3</v>
      </c>
      <c r="Z23">
        <v>33.5</v>
      </c>
      <c r="AC23" s="49" t="s">
        <v>93</v>
      </c>
    </row>
    <row r="24" spans="1:29" ht="16" x14ac:dyDescent="0.2">
      <c r="B24" s="3" t="s">
        <v>94</v>
      </c>
      <c r="F24" s="28"/>
      <c r="G24"/>
      <c r="H24">
        <v>46.314999999999998</v>
      </c>
      <c r="I24" s="2">
        <v>87.643000000000001</v>
      </c>
      <c r="J24" s="35"/>
      <c r="K24" s="35"/>
      <c r="L24" s="35"/>
      <c r="M24" s="56"/>
      <c r="N24" s="35"/>
      <c r="O24" s="35">
        <v>46.314999999999998</v>
      </c>
      <c r="P24" s="57">
        <v>87.643000000000001</v>
      </c>
      <c r="Q24" t="s">
        <v>31</v>
      </c>
      <c r="R24">
        <v>4</v>
      </c>
      <c r="S24" t="s">
        <v>95</v>
      </c>
      <c r="V24" s="2" t="s">
        <v>96</v>
      </c>
      <c r="W24"/>
      <c r="X24" s="5">
        <v>413</v>
      </c>
      <c r="Y24">
        <v>4.4999999999999997E-3</v>
      </c>
      <c r="AB24" s="23" t="s">
        <v>97</v>
      </c>
      <c r="AC24" t="s">
        <v>98</v>
      </c>
    </row>
    <row r="25" spans="1:29" ht="16" x14ac:dyDescent="0.2">
      <c r="B25" s="3" t="s">
        <v>56</v>
      </c>
      <c r="F25" s="28"/>
      <c r="G25"/>
      <c r="H25">
        <v>147.15</v>
      </c>
      <c r="I25" s="2">
        <v>333.35</v>
      </c>
      <c r="J25" s="13"/>
      <c r="K25" s="13"/>
      <c r="L25" s="13"/>
      <c r="M25" s="52"/>
      <c r="N25" s="13"/>
      <c r="O25" s="13">
        <v>58.86</v>
      </c>
      <c r="P25" s="13">
        <v>133.34</v>
      </c>
      <c r="Q25" s="24" t="s">
        <v>31</v>
      </c>
      <c r="R25">
        <v>5</v>
      </c>
      <c r="S25" t="s">
        <v>46</v>
      </c>
      <c r="T25" t="s">
        <v>33</v>
      </c>
      <c r="V25"/>
      <c r="W25" s="24">
        <v>42.3</v>
      </c>
      <c r="X25" s="5">
        <v>215000</v>
      </c>
      <c r="AC25" t="s">
        <v>57</v>
      </c>
    </row>
    <row r="26" spans="1:29" ht="16" x14ac:dyDescent="0.2">
      <c r="B26" s="3" t="s">
        <v>56</v>
      </c>
      <c r="F26" s="28"/>
      <c r="G26"/>
      <c r="H26">
        <v>27</v>
      </c>
      <c r="I26" s="2">
        <v>109.7</v>
      </c>
      <c r="J26" s="13"/>
      <c r="K26" s="13"/>
      <c r="L26" s="13"/>
      <c r="M26" s="52"/>
      <c r="N26" s="13"/>
      <c r="O26" s="13">
        <v>10.8</v>
      </c>
      <c r="P26" s="13">
        <v>43.88</v>
      </c>
      <c r="Q26" s="24" t="s">
        <v>31</v>
      </c>
      <c r="R26">
        <v>5</v>
      </c>
      <c r="S26" t="s">
        <v>46</v>
      </c>
      <c r="T26" t="s">
        <v>33</v>
      </c>
      <c r="W26">
        <v>42.3</v>
      </c>
      <c r="X26" s="5">
        <v>215000</v>
      </c>
      <c r="AB26" s="23" t="s">
        <v>99</v>
      </c>
      <c r="AC26" t="s">
        <v>57</v>
      </c>
    </row>
    <row r="27" spans="1:29" ht="16" x14ac:dyDescent="0.2">
      <c r="A27" t="s">
        <v>28</v>
      </c>
      <c r="B27" s="3" t="s">
        <v>100</v>
      </c>
      <c r="F27" s="28"/>
      <c r="G27"/>
      <c r="H27">
        <v>165</v>
      </c>
      <c r="I27" s="2">
        <v>718.5</v>
      </c>
      <c r="J27" s="13"/>
      <c r="K27" s="13"/>
      <c r="L27" s="13"/>
      <c r="M27" s="52"/>
      <c r="N27" s="13"/>
      <c r="O27" s="13">
        <v>165</v>
      </c>
      <c r="P27" s="13">
        <v>718.5</v>
      </c>
      <c r="Q27" s="24" t="s">
        <v>31</v>
      </c>
      <c r="R27">
        <v>5</v>
      </c>
      <c r="S27" t="s">
        <v>46</v>
      </c>
      <c r="T27" t="s">
        <v>51</v>
      </c>
      <c r="V27" s="2" t="s">
        <v>34</v>
      </c>
      <c r="W27">
        <v>46</v>
      </c>
      <c r="X27" s="5">
        <v>2643</v>
      </c>
      <c r="AB27" s="23" t="s">
        <v>101</v>
      </c>
      <c r="AC27" t="s">
        <v>65</v>
      </c>
    </row>
    <row r="28" spans="1:29" ht="16" x14ac:dyDescent="0.2">
      <c r="A28" t="s">
        <v>28</v>
      </c>
      <c r="B28" s="3" t="s">
        <v>66</v>
      </c>
      <c r="F28" s="28"/>
      <c r="G28"/>
      <c r="H28">
        <v>3125</v>
      </c>
      <c r="I28" s="2">
        <v>24310</v>
      </c>
      <c r="J28" s="13"/>
      <c r="K28" s="13"/>
      <c r="L28" s="13"/>
      <c r="M28" s="52"/>
      <c r="N28" s="13"/>
      <c r="O28" s="13">
        <v>3125</v>
      </c>
      <c r="P28" s="13">
        <v>24310</v>
      </c>
      <c r="Q28" s="24" t="s">
        <v>31</v>
      </c>
      <c r="R28">
        <v>5</v>
      </c>
      <c r="S28" t="s">
        <v>46</v>
      </c>
      <c r="T28" t="s">
        <v>51</v>
      </c>
      <c r="V28" t="s">
        <v>34</v>
      </c>
      <c r="W28" s="24">
        <v>38</v>
      </c>
      <c r="X28" s="5">
        <v>5735</v>
      </c>
      <c r="AB28" s="23" t="s">
        <v>67</v>
      </c>
      <c r="AC28" t="s">
        <v>68</v>
      </c>
    </row>
    <row r="29" spans="1:29" ht="16" x14ac:dyDescent="0.2">
      <c r="A29" t="s">
        <v>28</v>
      </c>
      <c r="B29" s="3" t="s">
        <v>102</v>
      </c>
      <c r="F29" s="28"/>
      <c r="G29"/>
      <c r="H29">
        <v>917.5</v>
      </c>
      <c r="I29" s="2">
        <v>2312.5</v>
      </c>
      <c r="J29" s="35"/>
      <c r="K29" s="35"/>
      <c r="L29" s="35"/>
      <c r="M29" s="56"/>
      <c r="N29" s="35"/>
      <c r="O29" s="35">
        <v>917.5</v>
      </c>
      <c r="P29" s="35">
        <v>2312.5</v>
      </c>
      <c r="Q29" s="24" t="s">
        <v>31</v>
      </c>
      <c r="R29">
        <v>5</v>
      </c>
      <c r="S29" t="s">
        <v>46</v>
      </c>
      <c r="V29" t="s">
        <v>34</v>
      </c>
      <c r="W29" s="24">
        <v>31</v>
      </c>
      <c r="X29" s="5">
        <v>5000</v>
      </c>
      <c r="Y29">
        <v>1.116E-3</v>
      </c>
      <c r="Z29">
        <v>36</v>
      </c>
      <c r="AC29" t="s">
        <v>103</v>
      </c>
    </row>
    <row r="30" spans="1:29" ht="16" x14ac:dyDescent="0.2">
      <c r="A30" t="s">
        <v>28</v>
      </c>
      <c r="B30" s="3" t="s">
        <v>104</v>
      </c>
      <c r="F30" s="28"/>
      <c r="G30"/>
      <c r="H30">
        <v>620</v>
      </c>
      <c r="I30" s="2">
        <v>1800</v>
      </c>
      <c r="J30" s="13"/>
      <c r="K30" s="13"/>
      <c r="L30" s="13"/>
      <c r="M30" s="52"/>
      <c r="N30" s="13"/>
      <c r="O30" s="13">
        <v>248</v>
      </c>
      <c r="P30" s="13">
        <v>720</v>
      </c>
      <c r="Q30" s="24" t="s">
        <v>31</v>
      </c>
      <c r="R30">
        <v>5</v>
      </c>
      <c r="S30" t="s">
        <v>105</v>
      </c>
      <c r="T30" t="s">
        <v>33</v>
      </c>
      <c r="V30"/>
      <c r="W30" s="24">
        <v>60.1</v>
      </c>
      <c r="X30" s="5">
        <v>139842</v>
      </c>
      <c r="AA30" s="2" t="s">
        <v>35</v>
      </c>
      <c r="AC30" s="50" t="s">
        <v>106</v>
      </c>
    </row>
    <row r="31" spans="1:29" ht="16" x14ac:dyDescent="0.2">
      <c r="B31" s="3" t="s">
        <v>69</v>
      </c>
      <c r="F31" s="28"/>
      <c r="G31"/>
      <c r="H31">
        <v>200</v>
      </c>
      <c r="I31" s="2">
        <v>4500</v>
      </c>
      <c r="J31" s="13"/>
      <c r="K31" s="13"/>
      <c r="L31" s="13"/>
      <c r="M31" s="52"/>
      <c r="N31" s="13"/>
      <c r="O31" s="13">
        <v>80</v>
      </c>
      <c r="P31" s="13">
        <v>1800</v>
      </c>
      <c r="Q31" s="24" t="s">
        <v>31</v>
      </c>
      <c r="R31">
        <v>5</v>
      </c>
      <c r="S31" t="s">
        <v>70</v>
      </c>
      <c r="T31" t="s">
        <v>33</v>
      </c>
      <c r="V31"/>
      <c r="W31" s="24">
        <v>18.2</v>
      </c>
      <c r="X31">
        <v>64.8</v>
      </c>
      <c r="AA31" s="2" t="s">
        <v>35</v>
      </c>
      <c r="AB31" s="23" t="s">
        <v>71</v>
      </c>
      <c r="AC31" s="8" t="s">
        <v>72</v>
      </c>
    </row>
    <row r="32" spans="1:29" ht="16" x14ac:dyDescent="0.2">
      <c r="A32" t="s">
        <v>28</v>
      </c>
      <c r="B32" s="3" t="s">
        <v>100</v>
      </c>
      <c r="F32" s="28"/>
      <c r="G32"/>
      <c r="H32">
        <v>935</v>
      </c>
      <c r="I32" s="2">
        <v>38110</v>
      </c>
      <c r="J32" s="13"/>
      <c r="K32" s="13"/>
      <c r="L32" s="13"/>
      <c r="M32" s="52"/>
      <c r="N32" s="13"/>
      <c r="O32" s="13">
        <v>935</v>
      </c>
      <c r="P32" s="13">
        <v>38110</v>
      </c>
      <c r="Q32" s="24" t="s">
        <v>31</v>
      </c>
      <c r="R32">
        <v>6</v>
      </c>
      <c r="S32" t="s">
        <v>46</v>
      </c>
      <c r="T32" t="s">
        <v>51</v>
      </c>
      <c r="V32" t="s">
        <v>34</v>
      </c>
      <c r="W32" s="24">
        <v>46</v>
      </c>
      <c r="X32" s="5">
        <v>2643</v>
      </c>
      <c r="AB32" s="23" t="s">
        <v>101</v>
      </c>
      <c r="AC32" s="49" t="s">
        <v>65</v>
      </c>
    </row>
    <row r="33" spans="1:29" ht="16" x14ac:dyDescent="0.2">
      <c r="A33" t="s">
        <v>28</v>
      </c>
      <c r="B33" s="3" t="s">
        <v>66</v>
      </c>
      <c r="F33" s="28"/>
      <c r="G33"/>
      <c r="H33">
        <v>1120</v>
      </c>
      <c r="I33" s="2">
        <v>9735</v>
      </c>
      <c r="J33" s="13"/>
      <c r="K33" s="13"/>
      <c r="L33" s="13"/>
      <c r="M33" s="52"/>
      <c r="N33" s="13"/>
      <c r="O33" s="13">
        <v>1120</v>
      </c>
      <c r="P33" s="13">
        <v>9735</v>
      </c>
      <c r="Q33" s="24" t="s">
        <v>31</v>
      </c>
      <c r="R33">
        <v>6</v>
      </c>
      <c r="S33" t="s">
        <v>46</v>
      </c>
      <c r="T33" t="s">
        <v>51</v>
      </c>
      <c r="V33" t="s">
        <v>34</v>
      </c>
      <c r="W33" s="24">
        <v>38</v>
      </c>
      <c r="X33" s="5">
        <v>5735</v>
      </c>
      <c r="AB33" s="23" t="s">
        <v>67</v>
      </c>
      <c r="AC33" t="s">
        <v>68</v>
      </c>
    </row>
    <row r="34" spans="1:29" ht="16" x14ac:dyDescent="0.2">
      <c r="A34" t="s">
        <v>28</v>
      </c>
      <c r="B34" s="3" t="s">
        <v>102</v>
      </c>
      <c r="F34" s="28"/>
      <c r="G34"/>
      <c r="H34">
        <v>1270</v>
      </c>
      <c r="I34" s="2">
        <v>4410</v>
      </c>
      <c r="J34" s="35"/>
      <c r="K34" s="35"/>
      <c r="L34" s="35"/>
      <c r="M34" s="56"/>
      <c r="N34" s="35"/>
      <c r="O34" s="35">
        <v>1270</v>
      </c>
      <c r="P34" s="35">
        <v>4410</v>
      </c>
      <c r="Q34" s="24" t="s">
        <v>31</v>
      </c>
      <c r="R34">
        <v>6</v>
      </c>
      <c r="S34" t="s">
        <v>46</v>
      </c>
      <c r="V34" t="s">
        <v>34</v>
      </c>
      <c r="W34" s="24">
        <v>31</v>
      </c>
      <c r="X34" s="5">
        <v>5000</v>
      </c>
      <c r="Y34">
        <v>1.116E-3</v>
      </c>
      <c r="Z34">
        <v>36</v>
      </c>
      <c r="AC34" t="s">
        <v>103</v>
      </c>
    </row>
    <row r="35" spans="1:29" ht="16" x14ac:dyDescent="0.2">
      <c r="A35" t="s">
        <v>28</v>
      </c>
      <c r="B35" s="3" t="s">
        <v>104</v>
      </c>
      <c r="F35" s="28"/>
      <c r="G35"/>
      <c r="H35">
        <v>450</v>
      </c>
      <c r="I35" s="2">
        <v>1890</v>
      </c>
      <c r="J35" s="13"/>
      <c r="K35" s="13"/>
      <c r="L35" s="13"/>
      <c r="M35" s="52"/>
      <c r="N35" s="13"/>
      <c r="O35" s="13">
        <v>180</v>
      </c>
      <c r="P35" s="13">
        <v>756</v>
      </c>
      <c r="Q35" s="24" t="s">
        <v>31</v>
      </c>
      <c r="R35">
        <v>6</v>
      </c>
      <c r="S35" t="s">
        <v>105</v>
      </c>
      <c r="T35" t="s">
        <v>33</v>
      </c>
      <c r="V35"/>
      <c r="W35" s="24">
        <v>60.1</v>
      </c>
      <c r="X35" s="5">
        <v>139842</v>
      </c>
      <c r="AA35" s="2" t="s">
        <v>35</v>
      </c>
      <c r="AC35" s="50" t="s">
        <v>106</v>
      </c>
    </row>
    <row r="36" spans="1:29" ht="16" x14ac:dyDescent="0.2">
      <c r="B36" s="3" t="s">
        <v>69</v>
      </c>
      <c r="F36" s="28"/>
      <c r="G36"/>
      <c r="H36">
        <v>120</v>
      </c>
      <c r="I36" s="2">
        <v>1680</v>
      </c>
      <c r="J36" s="13"/>
      <c r="K36" s="13"/>
      <c r="L36" s="13"/>
      <c r="M36" s="52"/>
      <c r="N36" s="13"/>
      <c r="O36" s="13">
        <v>48</v>
      </c>
      <c r="P36" s="13">
        <v>672</v>
      </c>
      <c r="Q36" s="24" t="s">
        <v>31</v>
      </c>
      <c r="R36">
        <v>6</v>
      </c>
      <c r="S36" t="s">
        <v>70</v>
      </c>
      <c r="T36" t="s">
        <v>33</v>
      </c>
      <c r="V36"/>
      <c r="W36" s="24">
        <v>18.2</v>
      </c>
      <c r="X36">
        <v>64.8</v>
      </c>
      <c r="AA36" s="2" t="s">
        <v>35</v>
      </c>
      <c r="AB36" s="23" t="s">
        <v>71</v>
      </c>
      <c r="AC36" s="8" t="s">
        <v>72</v>
      </c>
    </row>
    <row r="37" spans="1:29" ht="16" x14ac:dyDescent="0.2">
      <c r="A37" t="s">
        <v>28</v>
      </c>
      <c r="B37" s="3" t="s">
        <v>102</v>
      </c>
      <c r="C37">
        <v>21</v>
      </c>
      <c r="E37">
        <v>37</v>
      </c>
      <c r="F37" s="28"/>
      <c r="G37"/>
      <c r="H37"/>
      <c r="J37" s="35">
        <v>21</v>
      </c>
      <c r="K37" s="35"/>
      <c r="L37" s="35">
        <v>37</v>
      </c>
      <c r="M37" s="56"/>
      <c r="N37" s="35"/>
      <c r="O37" s="35"/>
      <c r="P37" s="35"/>
      <c r="Q37" s="24" t="s">
        <v>31</v>
      </c>
      <c r="R37">
        <v>7</v>
      </c>
      <c r="S37" t="s">
        <v>46</v>
      </c>
      <c r="V37" t="s">
        <v>34</v>
      </c>
      <c r="W37" s="24">
        <v>31</v>
      </c>
      <c r="X37" s="5">
        <v>5000</v>
      </c>
      <c r="Y37">
        <v>1.116E-3</v>
      </c>
      <c r="Z37">
        <v>36</v>
      </c>
      <c r="AC37" t="s">
        <v>103</v>
      </c>
    </row>
    <row r="38" spans="1:29" ht="16" x14ac:dyDescent="0.2">
      <c r="A38" t="s">
        <v>28</v>
      </c>
      <c r="B38" s="3" t="s">
        <v>100</v>
      </c>
      <c r="D38">
        <v>1240</v>
      </c>
      <c r="F38" s="28">
        <v>64845</v>
      </c>
      <c r="G38"/>
      <c r="H38"/>
      <c r="J38" s="13"/>
      <c r="K38" s="13">
        <v>1240</v>
      </c>
      <c r="L38" s="13"/>
      <c r="M38" s="52">
        <v>64845</v>
      </c>
      <c r="N38" s="13"/>
      <c r="O38" s="13"/>
      <c r="P38" s="18"/>
      <c r="Q38" t="s">
        <v>31</v>
      </c>
      <c r="R38">
        <v>8</v>
      </c>
      <c r="S38" t="s">
        <v>46</v>
      </c>
      <c r="T38" t="s">
        <v>51</v>
      </c>
      <c r="V38" s="2" t="s">
        <v>34</v>
      </c>
      <c r="W38" s="24">
        <v>46</v>
      </c>
      <c r="X38" s="5">
        <v>2643</v>
      </c>
      <c r="AC38" t="s">
        <v>65</v>
      </c>
    </row>
    <row r="39" spans="1:29" ht="16" x14ac:dyDescent="0.2">
      <c r="A39" t="s">
        <v>28</v>
      </c>
      <c r="B39" s="3" t="s">
        <v>66</v>
      </c>
      <c r="D39">
        <v>25</v>
      </c>
      <c r="F39" s="28">
        <v>749.5</v>
      </c>
      <c r="G39"/>
      <c r="H39"/>
      <c r="J39" s="13"/>
      <c r="K39" s="13">
        <v>25</v>
      </c>
      <c r="L39" s="13"/>
      <c r="M39" s="52">
        <v>749.5</v>
      </c>
      <c r="N39" s="13"/>
      <c r="O39" s="13"/>
      <c r="P39" s="18"/>
      <c r="Q39" t="s">
        <v>31</v>
      </c>
      <c r="R39">
        <v>8</v>
      </c>
      <c r="S39" t="s">
        <v>46</v>
      </c>
      <c r="T39" t="s">
        <v>51</v>
      </c>
      <c r="V39" s="2" t="s">
        <v>34</v>
      </c>
      <c r="W39">
        <v>38</v>
      </c>
      <c r="X39" s="5">
        <v>5735</v>
      </c>
      <c r="AB39" s="23" t="s">
        <v>67</v>
      </c>
      <c r="AC39" t="s">
        <v>68</v>
      </c>
    </row>
    <row r="40" spans="1:29" ht="16" x14ac:dyDescent="0.2">
      <c r="A40" t="s">
        <v>28</v>
      </c>
      <c r="B40" s="3" t="s">
        <v>104</v>
      </c>
      <c r="D40">
        <v>60</v>
      </c>
      <c r="F40" s="28">
        <v>140</v>
      </c>
      <c r="G40"/>
      <c r="H40"/>
      <c r="J40" s="13"/>
      <c r="K40" s="13">
        <v>24</v>
      </c>
      <c r="L40" s="13"/>
      <c r="M40" s="52">
        <v>56</v>
      </c>
      <c r="N40" s="13"/>
      <c r="O40" s="13"/>
      <c r="P40" s="18"/>
      <c r="Q40" t="s">
        <v>31</v>
      </c>
      <c r="R40">
        <v>8</v>
      </c>
      <c r="S40" t="s">
        <v>105</v>
      </c>
      <c r="T40" t="s">
        <v>33</v>
      </c>
      <c r="W40">
        <v>60.1</v>
      </c>
      <c r="X40" s="5">
        <v>139842</v>
      </c>
      <c r="AA40" s="2" t="s">
        <v>35</v>
      </c>
      <c r="AC40" s="50" t="s">
        <v>106</v>
      </c>
    </row>
    <row r="41" spans="1:29" ht="15" customHeight="1" x14ac:dyDescent="0.2">
      <c r="B41" s="3" t="s">
        <v>69</v>
      </c>
      <c r="D41">
        <v>90</v>
      </c>
      <c r="F41" s="28">
        <v>870</v>
      </c>
      <c r="G41"/>
      <c r="H41"/>
      <c r="J41" s="13"/>
      <c r="K41" s="13">
        <v>36</v>
      </c>
      <c r="L41" s="13"/>
      <c r="M41" s="52">
        <v>348</v>
      </c>
      <c r="N41" s="13"/>
      <c r="O41" s="13"/>
      <c r="P41" s="18"/>
      <c r="Q41" t="s">
        <v>31</v>
      </c>
      <c r="R41">
        <v>8</v>
      </c>
      <c r="S41" t="s">
        <v>70</v>
      </c>
      <c r="T41" t="s">
        <v>33</v>
      </c>
      <c r="W41">
        <v>18.2</v>
      </c>
      <c r="X41">
        <v>64.8</v>
      </c>
      <c r="AA41" s="2" t="s">
        <v>35</v>
      </c>
      <c r="AB41" s="23" t="s">
        <v>71</v>
      </c>
      <c r="AC41" s="8" t="s">
        <v>72</v>
      </c>
    </row>
    <row r="42" spans="1:29" ht="16" x14ac:dyDescent="0.2">
      <c r="B42" s="3" t="s">
        <v>107</v>
      </c>
      <c r="F42" s="28"/>
      <c r="G42"/>
      <c r="H42">
        <v>101.455</v>
      </c>
      <c r="J42" s="13"/>
      <c r="K42" s="13"/>
      <c r="L42" s="13"/>
      <c r="M42" s="52"/>
      <c r="N42" s="13"/>
      <c r="O42" s="13">
        <v>101.455</v>
      </c>
      <c r="P42" s="18"/>
      <c r="Q42" t="s">
        <v>31</v>
      </c>
      <c r="R42">
        <v>9</v>
      </c>
      <c r="S42" t="s">
        <v>108</v>
      </c>
      <c r="T42" t="s">
        <v>51</v>
      </c>
      <c r="V42" s="2" t="s">
        <v>34</v>
      </c>
      <c r="W42">
        <v>26.3</v>
      </c>
      <c r="X42" s="5">
        <v>119700</v>
      </c>
      <c r="Y42">
        <v>9.7099999999999997E-4</v>
      </c>
      <c r="Z42">
        <v>37.5</v>
      </c>
      <c r="AB42" s="23" t="s">
        <v>109</v>
      </c>
      <c r="AC42" t="s">
        <v>110</v>
      </c>
    </row>
    <row r="43" spans="1:29" ht="16" x14ac:dyDescent="0.2">
      <c r="B43" s="3" t="s">
        <v>111</v>
      </c>
      <c r="F43" s="28"/>
      <c r="G43"/>
      <c r="H43">
        <v>101.44499999999999</v>
      </c>
      <c r="J43" s="13"/>
      <c r="K43" s="13"/>
      <c r="L43" s="13"/>
      <c r="M43" s="52"/>
      <c r="N43" s="13"/>
      <c r="O43" s="13">
        <v>101.44499999999999</v>
      </c>
      <c r="P43" s="18"/>
      <c r="Q43" t="s">
        <v>31</v>
      </c>
      <c r="R43">
        <v>9</v>
      </c>
      <c r="S43" t="s">
        <v>108</v>
      </c>
      <c r="T43" t="s">
        <v>51</v>
      </c>
      <c r="V43" s="2" t="s">
        <v>34</v>
      </c>
      <c r="W43">
        <v>26.3</v>
      </c>
      <c r="X43" s="5">
        <v>119700</v>
      </c>
      <c r="Y43">
        <v>9.7099999999999997E-4</v>
      </c>
      <c r="Z43">
        <v>37.5</v>
      </c>
      <c r="AB43" s="23" t="s">
        <v>109</v>
      </c>
      <c r="AC43" t="s">
        <v>110</v>
      </c>
    </row>
    <row r="44" spans="1:29" ht="16" x14ac:dyDescent="0.2">
      <c r="B44" s="20" t="s">
        <v>112</v>
      </c>
      <c r="C44">
        <v>642.1</v>
      </c>
      <c r="E44">
        <v>1379.3</v>
      </c>
      <c r="F44" s="28"/>
      <c r="G44"/>
      <c r="H44"/>
      <c r="J44" s="13">
        <v>642.1</v>
      </c>
      <c r="K44" s="13"/>
      <c r="L44" s="13">
        <v>1379.3</v>
      </c>
      <c r="M44" s="52"/>
      <c r="N44" s="13"/>
      <c r="O44" s="13"/>
      <c r="P44" s="18"/>
      <c r="Q44" t="s">
        <v>31</v>
      </c>
      <c r="R44">
        <v>9</v>
      </c>
      <c r="S44" t="s">
        <v>46</v>
      </c>
      <c r="T44" t="s">
        <v>51</v>
      </c>
      <c r="V44" s="2" t="s">
        <v>34</v>
      </c>
      <c r="W44">
        <v>36.799999999999997</v>
      </c>
      <c r="X44" s="5">
        <v>1500</v>
      </c>
      <c r="Y44">
        <v>1.01E-3</v>
      </c>
      <c r="Z44">
        <v>33</v>
      </c>
      <c r="AB44" s="23" t="s">
        <v>113</v>
      </c>
      <c r="AC44" t="s">
        <v>114</v>
      </c>
    </row>
    <row r="45" spans="1:29" ht="16" x14ac:dyDescent="0.2">
      <c r="B45" s="3" t="s">
        <v>115</v>
      </c>
      <c r="F45" s="28"/>
      <c r="G45"/>
      <c r="H45">
        <v>1711.15</v>
      </c>
      <c r="I45" s="2">
        <v>7137.67</v>
      </c>
      <c r="J45" s="13"/>
      <c r="K45" s="13"/>
      <c r="L45" s="13"/>
      <c r="M45" s="52"/>
      <c r="N45" s="13"/>
      <c r="O45" s="13">
        <v>1711.15</v>
      </c>
      <c r="P45" s="18">
        <v>7137.67</v>
      </c>
      <c r="Q45" t="s">
        <v>31</v>
      </c>
      <c r="R45">
        <v>9</v>
      </c>
      <c r="S45" t="s">
        <v>46</v>
      </c>
      <c r="T45" t="s">
        <v>51</v>
      </c>
      <c r="U45">
        <v>8100</v>
      </c>
      <c r="V45" s="2" t="s">
        <v>34</v>
      </c>
      <c r="W45">
        <v>17.2</v>
      </c>
      <c r="X45" s="5">
        <v>10650</v>
      </c>
      <c r="AB45" s="23" t="s">
        <v>116</v>
      </c>
      <c r="AC45" t="s">
        <v>117</v>
      </c>
    </row>
    <row r="46" spans="1:29" ht="16" x14ac:dyDescent="0.2">
      <c r="B46" s="3" t="s">
        <v>118</v>
      </c>
      <c r="C46">
        <v>9.66</v>
      </c>
      <c r="E46">
        <v>35.28</v>
      </c>
      <c r="F46" s="28"/>
      <c r="G46"/>
      <c r="H46"/>
      <c r="J46" s="13">
        <v>9.66</v>
      </c>
      <c r="K46" s="13"/>
      <c r="L46" s="13">
        <v>35.28</v>
      </c>
      <c r="M46" s="52"/>
      <c r="N46" s="13"/>
      <c r="O46" s="13"/>
      <c r="P46" s="18"/>
      <c r="Q46" t="s">
        <v>31</v>
      </c>
      <c r="R46">
        <v>9</v>
      </c>
      <c r="S46" t="s">
        <v>46</v>
      </c>
      <c r="T46" t="s">
        <v>51</v>
      </c>
      <c r="V46" s="2" t="s">
        <v>34</v>
      </c>
      <c r="W46">
        <v>43.5</v>
      </c>
      <c r="X46" s="5">
        <v>1602330</v>
      </c>
      <c r="Z46">
        <v>37.4</v>
      </c>
      <c r="AB46" s="23" t="s">
        <v>119</v>
      </c>
      <c r="AC46" t="s">
        <v>120</v>
      </c>
    </row>
    <row r="47" spans="1:29" ht="16" x14ac:dyDescent="0.2">
      <c r="B47" s="3" t="s">
        <v>121</v>
      </c>
      <c r="F47" s="28"/>
      <c r="G47"/>
      <c r="H47">
        <v>35.9</v>
      </c>
      <c r="I47" s="2">
        <v>96.3</v>
      </c>
      <c r="J47" s="13"/>
      <c r="K47" s="13"/>
      <c r="L47" s="13"/>
      <c r="M47" s="52"/>
      <c r="N47" s="13"/>
      <c r="O47" s="13">
        <v>35.9</v>
      </c>
      <c r="P47" s="18">
        <v>96.3</v>
      </c>
      <c r="Q47" t="s">
        <v>122</v>
      </c>
      <c r="R47">
        <v>9</v>
      </c>
      <c r="S47" t="s">
        <v>46</v>
      </c>
      <c r="T47" t="s">
        <v>51</v>
      </c>
      <c r="U47">
        <v>23000</v>
      </c>
      <c r="V47" s="2" t="s">
        <v>34</v>
      </c>
      <c r="W47">
        <v>31.5</v>
      </c>
      <c r="X47" s="5">
        <v>20200</v>
      </c>
      <c r="Y47">
        <v>1.6180000000000001E-3</v>
      </c>
      <c r="Z47">
        <v>37.5</v>
      </c>
      <c r="AB47" s="23" t="s">
        <v>123</v>
      </c>
      <c r="AC47" t="s">
        <v>124</v>
      </c>
    </row>
    <row r="48" spans="1:29" ht="16" x14ac:dyDescent="0.2">
      <c r="B48" s="3" t="s">
        <v>125</v>
      </c>
      <c r="D48">
        <v>1743.1</v>
      </c>
      <c r="F48" s="28"/>
      <c r="G48"/>
      <c r="H48"/>
      <c r="J48" s="13"/>
      <c r="K48" s="13">
        <v>1743.1</v>
      </c>
      <c r="L48" s="13"/>
      <c r="M48" s="52"/>
      <c r="N48" s="13"/>
      <c r="O48" s="13"/>
      <c r="P48" s="18"/>
      <c r="Q48" t="s">
        <v>31</v>
      </c>
      <c r="R48">
        <v>10</v>
      </c>
      <c r="S48" t="s">
        <v>46</v>
      </c>
      <c r="T48" t="s">
        <v>51</v>
      </c>
      <c r="V48" s="2" t="s">
        <v>126</v>
      </c>
      <c r="W48"/>
      <c r="X48" s="5">
        <v>20.87</v>
      </c>
      <c r="AB48" s="23" t="s">
        <v>127</v>
      </c>
      <c r="AC48" s="49" t="s">
        <v>128</v>
      </c>
    </row>
    <row r="49" spans="1:29" ht="16" x14ac:dyDescent="0.2">
      <c r="B49" s="3" t="s">
        <v>129</v>
      </c>
      <c r="D49">
        <v>2842.33</v>
      </c>
      <c r="F49" s="28"/>
      <c r="G49"/>
      <c r="H49"/>
      <c r="J49" s="13"/>
      <c r="K49" s="13">
        <v>2842.33</v>
      </c>
      <c r="L49" s="13"/>
      <c r="M49" s="52"/>
      <c r="N49" s="13"/>
      <c r="O49" s="13"/>
      <c r="P49" s="18"/>
      <c r="Q49" t="s">
        <v>31</v>
      </c>
      <c r="R49">
        <v>10</v>
      </c>
      <c r="S49" t="s">
        <v>46</v>
      </c>
      <c r="T49" t="s">
        <v>51</v>
      </c>
      <c r="V49" s="2" t="s">
        <v>126</v>
      </c>
      <c r="W49">
        <v>5.9</v>
      </c>
      <c r="X49" s="5">
        <v>30</v>
      </c>
      <c r="Y49">
        <v>7.9799999999999992E-3</v>
      </c>
      <c r="Z49">
        <v>37.200000000000003</v>
      </c>
      <c r="AB49" s="23" t="s">
        <v>130</v>
      </c>
      <c r="AC49" s="49" t="s">
        <v>128</v>
      </c>
    </row>
    <row r="50" spans="1:29" ht="16" x14ac:dyDescent="0.2">
      <c r="B50" s="3" t="s">
        <v>131</v>
      </c>
      <c r="D50">
        <v>1711.28</v>
      </c>
      <c r="F50" s="28"/>
      <c r="G50"/>
      <c r="H50"/>
      <c r="J50" s="13"/>
      <c r="K50" s="13">
        <v>1711.28</v>
      </c>
      <c r="L50" s="13"/>
      <c r="M50" s="52"/>
      <c r="N50" s="13"/>
      <c r="O50" s="13"/>
      <c r="P50" s="18"/>
      <c r="Q50" t="s">
        <v>31</v>
      </c>
      <c r="R50">
        <v>10</v>
      </c>
      <c r="S50" t="s">
        <v>46</v>
      </c>
      <c r="T50" t="s">
        <v>51</v>
      </c>
      <c r="V50" s="2" t="s">
        <v>126</v>
      </c>
      <c r="W50">
        <v>8.1999999999999993</v>
      </c>
      <c r="X50" s="5">
        <v>37</v>
      </c>
      <c r="Y50">
        <v>4.1840000000000002E-3</v>
      </c>
      <c r="Z50">
        <v>36.1</v>
      </c>
      <c r="AB50" s="23" t="s">
        <v>130</v>
      </c>
      <c r="AC50" t="s">
        <v>128</v>
      </c>
    </row>
    <row r="51" spans="1:29" ht="16" x14ac:dyDescent="0.2">
      <c r="B51" s="3" t="s">
        <v>132</v>
      </c>
      <c r="D51">
        <v>1436.55</v>
      </c>
      <c r="F51" s="28">
        <v>2368.4699999999998</v>
      </c>
      <c r="G51"/>
      <c r="H51"/>
      <c r="J51" s="13"/>
      <c r="K51" s="13">
        <v>1436.55</v>
      </c>
      <c r="L51" s="13"/>
      <c r="M51" s="52">
        <v>2368.4699999999998</v>
      </c>
      <c r="N51" s="13"/>
      <c r="O51" s="13"/>
      <c r="P51" s="18"/>
      <c r="Q51" t="s">
        <v>31</v>
      </c>
      <c r="R51">
        <v>10</v>
      </c>
      <c r="S51" t="s">
        <v>46</v>
      </c>
      <c r="T51" t="s">
        <v>51</v>
      </c>
      <c r="U51" t="s">
        <v>133</v>
      </c>
      <c r="V51" s="2" t="s">
        <v>134</v>
      </c>
      <c r="W51">
        <v>8.3000000000000007</v>
      </c>
      <c r="X51">
        <v>21</v>
      </c>
      <c r="Y51">
        <v>1.0683E-2</v>
      </c>
      <c r="Z51">
        <v>36.6</v>
      </c>
      <c r="AB51" s="23" t="s">
        <v>135</v>
      </c>
      <c r="AC51" t="s">
        <v>136</v>
      </c>
    </row>
    <row r="52" spans="1:29" ht="16" x14ac:dyDescent="0.2">
      <c r="B52" s="3" t="s">
        <v>137</v>
      </c>
      <c r="C52">
        <v>49.643599999999999</v>
      </c>
      <c r="F52" s="28"/>
      <c r="G52"/>
      <c r="H52"/>
      <c r="J52" s="13">
        <v>49.643599999999999</v>
      </c>
      <c r="K52" s="13"/>
      <c r="L52" s="13"/>
      <c r="M52" s="52"/>
      <c r="N52" s="13"/>
      <c r="O52" s="13"/>
      <c r="P52" s="18"/>
      <c r="Q52" t="s">
        <v>31</v>
      </c>
      <c r="R52" t="s">
        <v>138</v>
      </c>
      <c r="S52" t="s">
        <v>35</v>
      </c>
      <c r="T52" t="s">
        <v>51</v>
      </c>
      <c r="V52" s="2" t="s">
        <v>34</v>
      </c>
      <c r="W52">
        <v>79.599999999999994</v>
      </c>
      <c r="X52" s="5">
        <v>3178000</v>
      </c>
      <c r="Y52">
        <v>6.3599999999999996E-4</v>
      </c>
      <c r="Z52">
        <v>35.799999999999997</v>
      </c>
      <c r="AB52" s="23" t="s">
        <v>139</v>
      </c>
      <c r="AC52" t="s">
        <v>140</v>
      </c>
    </row>
    <row r="53" spans="1:29" ht="16" x14ac:dyDescent="0.2">
      <c r="B53" s="3" t="s">
        <v>141</v>
      </c>
      <c r="F53" s="28"/>
      <c r="G53"/>
      <c r="H53">
        <v>126.7</v>
      </c>
      <c r="J53" s="13"/>
      <c r="K53" s="13"/>
      <c r="L53" s="13"/>
      <c r="M53" s="52"/>
      <c r="N53" s="13"/>
      <c r="O53" s="13">
        <v>126.7</v>
      </c>
      <c r="P53" s="18"/>
      <c r="Q53" t="s">
        <v>31</v>
      </c>
      <c r="R53">
        <v>10</v>
      </c>
      <c r="S53" t="s">
        <v>35</v>
      </c>
      <c r="T53" t="s">
        <v>51</v>
      </c>
      <c r="V53" t="s">
        <v>84</v>
      </c>
      <c r="W53" s="24">
        <v>79.599999999999994</v>
      </c>
      <c r="X53" s="5">
        <v>3178000</v>
      </c>
      <c r="Y53">
        <v>6.3599999999999996E-4</v>
      </c>
      <c r="Z53">
        <v>35.799999999999997</v>
      </c>
      <c r="AB53" s="23" t="s">
        <v>142</v>
      </c>
      <c r="AC53" s="49" t="s">
        <v>143</v>
      </c>
    </row>
    <row r="54" spans="1:29" ht="16" x14ac:dyDescent="0.2">
      <c r="B54" s="29" t="s">
        <v>74</v>
      </c>
      <c r="F54" s="28"/>
      <c r="G54"/>
      <c r="H54">
        <v>66.599999999999994</v>
      </c>
      <c r="I54" s="2">
        <v>136.80000000000001</v>
      </c>
      <c r="J54" s="13"/>
      <c r="K54" s="13"/>
      <c r="L54" s="13"/>
      <c r="M54" s="52"/>
      <c r="N54" s="13"/>
      <c r="O54" s="13">
        <v>66.599999999999994</v>
      </c>
      <c r="P54" s="18">
        <v>136.80000000000001</v>
      </c>
      <c r="Q54" t="s">
        <v>31</v>
      </c>
      <c r="R54">
        <v>11</v>
      </c>
      <c r="S54" t="s">
        <v>46</v>
      </c>
      <c r="T54" t="s">
        <v>51</v>
      </c>
      <c r="V54" s="2" t="s">
        <v>34</v>
      </c>
      <c r="W54">
        <v>18</v>
      </c>
      <c r="X54" s="5">
        <v>4175</v>
      </c>
      <c r="Y54">
        <v>2.8010000000000001E-3</v>
      </c>
      <c r="Z54">
        <v>39.700000000000003</v>
      </c>
      <c r="AB54" s="23" t="s">
        <v>75</v>
      </c>
      <c r="AC54" t="s">
        <v>76</v>
      </c>
    </row>
    <row r="55" spans="1:29" ht="16" x14ac:dyDescent="0.2">
      <c r="B55" s="3" t="s">
        <v>144</v>
      </c>
      <c r="F55" s="28"/>
      <c r="G55"/>
      <c r="H55">
        <v>695</v>
      </c>
      <c r="I55" s="2">
        <v>2414</v>
      </c>
      <c r="J55" s="13"/>
      <c r="K55" s="13"/>
      <c r="L55" s="13"/>
      <c r="M55" s="52"/>
      <c r="N55" s="13"/>
      <c r="O55" s="13">
        <v>695</v>
      </c>
      <c r="P55" s="18">
        <v>2414</v>
      </c>
      <c r="Q55" t="s">
        <v>31</v>
      </c>
      <c r="R55">
        <v>11</v>
      </c>
      <c r="S55" t="s">
        <v>46</v>
      </c>
      <c r="T55" t="s">
        <v>51</v>
      </c>
      <c r="U55">
        <v>7456.25</v>
      </c>
      <c r="V55" s="2" t="s">
        <v>84</v>
      </c>
      <c r="W55">
        <v>16.3</v>
      </c>
      <c r="X55" s="5">
        <v>5200</v>
      </c>
      <c r="Y55">
        <v>2.1289999999999998E-3</v>
      </c>
      <c r="Z55">
        <v>38.6</v>
      </c>
      <c r="AC55" t="s">
        <v>145</v>
      </c>
    </row>
    <row r="56" spans="1:29" ht="16" x14ac:dyDescent="0.2">
      <c r="B56" s="3" t="s">
        <v>53</v>
      </c>
      <c r="F56" s="28"/>
      <c r="G56"/>
      <c r="H56">
        <v>435</v>
      </c>
      <c r="I56" s="2">
        <v>1870</v>
      </c>
      <c r="J56" s="35"/>
      <c r="K56" s="35"/>
      <c r="L56" s="35"/>
      <c r="M56" s="56"/>
      <c r="N56" s="35"/>
      <c r="O56" s="35">
        <v>435</v>
      </c>
      <c r="P56" s="57">
        <v>1870</v>
      </c>
      <c r="Q56" t="s">
        <v>31</v>
      </c>
      <c r="R56">
        <v>11</v>
      </c>
      <c r="S56" t="s">
        <v>46</v>
      </c>
      <c r="V56" t="s">
        <v>54</v>
      </c>
      <c r="W56" s="24">
        <v>24.3</v>
      </c>
      <c r="X56" s="5">
        <v>164500</v>
      </c>
      <c r="Y56">
        <v>1.1709999999999999E-3</v>
      </c>
      <c r="Z56">
        <v>38</v>
      </c>
      <c r="AC56" s="49" t="s">
        <v>146</v>
      </c>
    </row>
    <row r="57" spans="1:29" ht="16" x14ac:dyDescent="0.2">
      <c r="B57" s="3" t="s">
        <v>56</v>
      </c>
      <c r="F57" s="28"/>
      <c r="G57"/>
      <c r="H57">
        <v>40.700000000000003</v>
      </c>
      <c r="I57" s="2">
        <v>171.5</v>
      </c>
      <c r="J57" s="13"/>
      <c r="K57" s="13"/>
      <c r="L57" s="13"/>
      <c r="M57" s="52"/>
      <c r="N57" s="13"/>
      <c r="O57" s="13">
        <v>16.28</v>
      </c>
      <c r="P57" s="18">
        <v>68.599999999999994</v>
      </c>
      <c r="Q57" t="s">
        <v>31</v>
      </c>
      <c r="R57">
        <v>11</v>
      </c>
      <c r="S57" t="s">
        <v>46</v>
      </c>
      <c r="T57" t="s">
        <v>33</v>
      </c>
      <c r="W57">
        <v>42.3</v>
      </c>
      <c r="X57" s="5">
        <v>215000</v>
      </c>
      <c r="AC57" t="s">
        <v>57</v>
      </c>
    </row>
    <row r="58" spans="1:29" ht="16" x14ac:dyDescent="0.2">
      <c r="B58" s="3" t="s">
        <v>147</v>
      </c>
      <c r="F58" s="28"/>
      <c r="G58"/>
      <c r="H58">
        <v>475</v>
      </c>
      <c r="I58" s="2">
        <v>2143</v>
      </c>
      <c r="J58" s="13"/>
      <c r="K58" s="13"/>
      <c r="L58" s="13"/>
      <c r="M58" s="52"/>
      <c r="N58" s="13"/>
      <c r="O58" s="13">
        <v>475</v>
      </c>
      <c r="P58" s="18">
        <v>2143</v>
      </c>
      <c r="Q58" t="s">
        <v>31</v>
      </c>
      <c r="R58">
        <v>11</v>
      </c>
      <c r="S58" t="s">
        <v>46</v>
      </c>
      <c r="T58" t="s">
        <v>51</v>
      </c>
      <c r="U58">
        <v>7233.33</v>
      </c>
      <c r="V58" s="2" t="s">
        <v>84</v>
      </c>
      <c r="W58">
        <v>21.3</v>
      </c>
      <c r="X58" s="5">
        <v>4132</v>
      </c>
      <c r="Y58">
        <v>2.9979999999999998E-3</v>
      </c>
      <c r="Z58">
        <v>38.700000000000003</v>
      </c>
      <c r="AC58" t="s">
        <v>148</v>
      </c>
    </row>
    <row r="59" spans="1:29" ht="16" x14ac:dyDescent="0.2">
      <c r="B59" s="3" t="s">
        <v>88</v>
      </c>
      <c r="F59" s="28"/>
      <c r="G59"/>
      <c r="H59">
        <v>3524.28</v>
      </c>
      <c r="I59" s="2">
        <v>7682.35</v>
      </c>
      <c r="J59" s="35"/>
      <c r="K59" s="35"/>
      <c r="L59" s="35"/>
      <c r="M59" s="56"/>
      <c r="N59" s="35"/>
      <c r="O59" s="35">
        <v>3524.28</v>
      </c>
      <c r="P59" s="57">
        <v>7682.35</v>
      </c>
      <c r="Q59" t="s">
        <v>31</v>
      </c>
      <c r="R59">
        <v>11</v>
      </c>
      <c r="S59" t="s">
        <v>46</v>
      </c>
      <c r="V59" s="2" t="s">
        <v>89</v>
      </c>
      <c r="W59">
        <v>5.9</v>
      </c>
      <c r="X59" s="5">
        <v>45.2</v>
      </c>
      <c r="Y59">
        <v>6.143E-3</v>
      </c>
      <c r="Z59">
        <v>37.5</v>
      </c>
      <c r="AB59" s="23" t="s">
        <v>90</v>
      </c>
      <c r="AC59" t="s">
        <v>91</v>
      </c>
    </row>
    <row r="60" spans="1:29" ht="16" x14ac:dyDescent="0.2">
      <c r="B60" s="3" t="s">
        <v>149</v>
      </c>
      <c r="C60">
        <v>263.02999999999997</v>
      </c>
      <c r="E60">
        <v>416.87</v>
      </c>
      <c r="F60" s="28"/>
      <c r="G60"/>
      <c r="H60"/>
      <c r="J60" s="13">
        <v>263.02999999999997</v>
      </c>
      <c r="K60" s="13"/>
      <c r="L60" s="13">
        <v>416.87</v>
      </c>
      <c r="M60" s="52"/>
      <c r="N60" s="13"/>
      <c r="O60" s="13"/>
      <c r="P60" s="18"/>
      <c r="Q60" t="s">
        <v>31</v>
      </c>
      <c r="R60">
        <v>11</v>
      </c>
      <c r="S60" t="s">
        <v>150</v>
      </c>
      <c r="T60" t="s">
        <v>51</v>
      </c>
      <c r="U60">
        <v>630</v>
      </c>
      <c r="V60" s="2" t="s">
        <v>34</v>
      </c>
      <c r="W60"/>
      <c r="X60">
        <v>412.5</v>
      </c>
      <c r="AA60" s="2" t="s">
        <v>35</v>
      </c>
      <c r="AB60" s="23" t="s">
        <v>151</v>
      </c>
      <c r="AC60" s="8" t="s">
        <v>152</v>
      </c>
    </row>
    <row r="61" spans="1:29" ht="16" x14ac:dyDescent="0.2">
      <c r="B61" s="20" t="s">
        <v>153</v>
      </c>
      <c r="C61">
        <v>0.72850000000000004</v>
      </c>
      <c r="D61">
        <v>5.1319999999999997</v>
      </c>
      <c r="E61">
        <v>6.2914000000000003</v>
      </c>
      <c r="F61" s="28">
        <v>16.645</v>
      </c>
      <c r="G61">
        <f>C61+D61</f>
        <v>5.8605</v>
      </c>
      <c r="H61"/>
      <c r="J61" s="13">
        <v>0.29139999999999999</v>
      </c>
      <c r="K61" s="13">
        <v>0.20527999999999999</v>
      </c>
      <c r="L61" s="13">
        <v>2.5165600000000001</v>
      </c>
      <c r="M61" s="52">
        <v>6.6580000000000004</v>
      </c>
      <c r="N61" s="13">
        <v>2.3441999999999998</v>
      </c>
      <c r="O61" s="13"/>
      <c r="P61" s="18"/>
      <c r="Q61" t="s">
        <v>154</v>
      </c>
      <c r="S61" t="s">
        <v>46</v>
      </c>
      <c r="T61" t="s">
        <v>33</v>
      </c>
      <c r="W61">
        <v>31.5</v>
      </c>
      <c r="X61" s="5">
        <v>200000</v>
      </c>
      <c r="Y61">
        <v>1.678E-3</v>
      </c>
      <c r="Z61">
        <v>35.200000000000003</v>
      </c>
      <c r="AA61"/>
      <c r="AB61"/>
      <c r="AC61" s="49" t="s">
        <v>155</v>
      </c>
    </row>
    <row r="62" spans="1:29" ht="16" x14ac:dyDescent="0.2">
      <c r="A62" t="s">
        <v>28</v>
      </c>
      <c r="B62" s="3" t="s">
        <v>156</v>
      </c>
      <c r="C62">
        <v>51.505000000000003</v>
      </c>
      <c r="E62">
        <v>80.245000000000005</v>
      </c>
      <c r="F62" s="28"/>
      <c r="G62"/>
      <c r="H62"/>
      <c r="J62" s="13">
        <v>51.505000000000003</v>
      </c>
      <c r="K62" s="13"/>
      <c r="L62" s="13">
        <v>80.245000000000005</v>
      </c>
      <c r="M62" s="52"/>
      <c r="N62" s="13"/>
      <c r="O62" s="13"/>
      <c r="P62" s="18"/>
      <c r="Q62" t="s">
        <v>31</v>
      </c>
      <c r="R62">
        <v>13</v>
      </c>
      <c r="S62" t="s">
        <v>157</v>
      </c>
      <c r="T62" t="s">
        <v>51</v>
      </c>
      <c r="W62">
        <v>28.4</v>
      </c>
      <c r="X62">
        <v>11950</v>
      </c>
      <c r="AA62" s="2" t="s">
        <v>35</v>
      </c>
      <c r="AB62" s="23" t="s">
        <v>158</v>
      </c>
      <c r="AC62" s="8" t="s">
        <v>159</v>
      </c>
    </row>
    <row r="63" spans="1:29" ht="16" x14ac:dyDescent="0.2">
      <c r="B63" s="3" t="s">
        <v>160</v>
      </c>
      <c r="F63" s="28"/>
      <c r="G63"/>
      <c r="H63">
        <v>26.03</v>
      </c>
      <c r="J63" s="35"/>
      <c r="K63" s="35"/>
      <c r="L63" s="35"/>
      <c r="M63" s="56"/>
      <c r="N63" s="35"/>
      <c r="O63" s="35">
        <v>26.03</v>
      </c>
      <c r="P63" s="57"/>
      <c r="Q63" t="s">
        <v>161</v>
      </c>
      <c r="R63">
        <v>14</v>
      </c>
      <c r="S63" t="s">
        <v>35</v>
      </c>
      <c r="W63">
        <v>31.5</v>
      </c>
      <c r="X63" s="5">
        <v>200000</v>
      </c>
      <c r="Y63">
        <v>1.678E-3</v>
      </c>
      <c r="Z63">
        <v>35.200000000000003</v>
      </c>
      <c r="AB63" s="23" t="s">
        <v>162</v>
      </c>
      <c r="AC63" t="s">
        <v>163</v>
      </c>
    </row>
    <row r="64" spans="1:29" ht="16" x14ac:dyDescent="0.2">
      <c r="B64" s="3" t="s">
        <v>164</v>
      </c>
      <c r="F64" s="28"/>
      <c r="G64"/>
      <c r="H64">
        <v>67.5</v>
      </c>
      <c r="I64" s="2">
        <v>190.25</v>
      </c>
      <c r="J64" s="13"/>
      <c r="K64" s="13"/>
      <c r="L64" s="13"/>
      <c r="M64" s="52"/>
      <c r="N64" s="13"/>
      <c r="O64" s="13">
        <v>67.5</v>
      </c>
      <c r="P64" s="18">
        <v>190.25</v>
      </c>
      <c r="Q64" t="s">
        <v>161</v>
      </c>
      <c r="R64">
        <v>14</v>
      </c>
      <c r="S64" t="s">
        <v>46</v>
      </c>
      <c r="T64" t="s">
        <v>51</v>
      </c>
      <c r="V64" t="s">
        <v>34</v>
      </c>
      <c r="W64" s="24">
        <v>23</v>
      </c>
      <c r="X64" s="5">
        <v>87000</v>
      </c>
      <c r="Y64">
        <v>1.9959999999999999E-3</v>
      </c>
      <c r="Z64">
        <v>39</v>
      </c>
      <c r="AA64" s="2" t="s">
        <v>35</v>
      </c>
      <c r="AB64" s="23" t="s">
        <v>165</v>
      </c>
      <c r="AC64" t="s">
        <v>166</v>
      </c>
    </row>
    <row r="65" spans="1:29" ht="17" customHeight="1" x14ac:dyDescent="0.2">
      <c r="B65" s="3" t="s">
        <v>167</v>
      </c>
      <c r="F65" s="28"/>
      <c r="G65"/>
      <c r="H65">
        <v>267.75</v>
      </c>
      <c r="I65" s="2">
        <v>4446</v>
      </c>
      <c r="J65" s="13"/>
      <c r="K65" s="13"/>
      <c r="L65" s="13"/>
      <c r="M65" s="52"/>
      <c r="N65" s="13"/>
      <c r="O65" s="13">
        <v>267.75</v>
      </c>
      <c r="P65" s="18">
        <v>4446</v>
      </c>
      <c r="Q65" t="s">
        <v>168</v>
      </c>
      <c r="R65">
        <v>14</v>
      </c>
      <c r="S65" t="s">
        <v>46</v>
      </c>
      <c r="T65" t="s">
        <v>51</v>
      </c>
      <c r="V65" s="2" t="s">
        <v>169</v>
      </c>
      <c r="W65">
        <v>17</v>
      </c>
      <c r="X65" s="5">
        <v>26500</v>
      </c>
      <c r="Y65">
        <v>3.7729999999999999E-3</v>
      </c>
      <c r="AB65" s="23" t="s">
        <v>170</v>
      </c>
      <c r="AC65" t="s">
        <v>171</v>
      </c>
    </row>
    <row r="66" spans="1:29" ht="16" x14ac:dyDescent="0.2">
      <c r="A66" t="s">
        <v>28</v>
      </c>
      <c r="B66" s="3" t="s">
        <v>172</v>
      </c>
      <c r="F66" s="28"/>
      <c r="G66"/>
      <c r="H66"/>
      <c r="J66" s="13"/>
      <c r="K66" s="13"/>
      <c r="L66" s="13"/>
      <c r="M66" s="52"/>
      <c r="N66" s="13"/>
      <c r="O66" s="13"/>
      <c r="P66" s="18"/>
      <c r="Q66" t="s">
        <v>168</v>
      </c>
      <c r="R66">
        <v>14</v>
      </c>
      <c r="S66" t="s">
        <v>46</v>
      </c>
      <c r="T66" t="s">
        <v>33</v>
      </c>
      <c r="W66"/>
      <c r="X66" s="5">
        <v>17400</v>
      </c>
      <c r="AA66" s="2" t="s">
        <v>35</v>
      </c>
      <c r="AB66" s="23" t="s">
        <v>173</v>
      </c>
      <c r="AC66" s="49" t="s">
        <v>155</v>
      </c>
    </row>
    <row r="67" spans="1:29" ht="16" x14ac:dyDescent="0.2">
      <c r="B67" s="3" t="s">
        <v>174</v>
      </c>
      <c r="C67">
        <v>45.029000000000003</v>
      </c>
      <c r="E67">
        <v>105.90300000000001</v>
      </c>
      <c r="F67" s="28"/>
      <c r="G67"/>
      <c r="H67"/>
      <c r="J67" s="13">
        <v>45.029000000000003</v>
      </c>
      <c r="K67" s="13"/>
      <c r="L67" s="13">
        <v>105.90300000000001</v>
      </c>
      <c r="M67" s="52"/>
      <c r="N67" s="13"/>
      <c r="O67" s="13"/>
      <c r="P67" s="18"/>
      <c r="Q67" t="s">
        <v>154</v>
      </c>
      <c r="R67">
        <v>14</v>
      </c>
      <c r="S67" t="s">
        <v>46</v>
      </c>
      <c r="T67" t="s">
        <v>51</v>
      </c>
      <c r="W67">
        <v>57</v>
      </c>
      <c r="X67" s="5">
        <v>1100000</v>
      </c>
      <c r="Z67">
        <v>39</v>
      </c>
      <c r="AB67" s="23" t="s">
        <v>175</v>
      </c>
      <c r="AC67" s="49" t="s">
        <v>155</v>
      </c>
    </row>
    <row r="68" spans="1:29" ht="16" x14ac:dyDescent="0.2">
      <c r="A68" t="s">
        <v>28</v>
      </c>
      <c r="B68" s="3" t="s">
        <v>176</v>
      </c>
      <c r="C68">
        <v>25.683</v>
      </c>
      <c r="E68">
        <v>209.113</v>
      </c>
      <c r="F68" s="28"/>
      <c r="G68"/>
      <c r="H68"/>
      <c r="J68" s="13">
        <v>10.273199999999999</v>
      </c>
      <c r="K68" s="13"/>
      <c r="L68" s="13">
        <v>83.645200000000003</v>
      </c>
      <c r="M68" s="52"/>
      <c r="N68" s="13"/>
      <c r="O68" s="13"/>
      <c r="P68" s="18"/>
      <c r="Q68" t="s">
        <v>154</v>
      </c>
      <c r="R68">
        <v>14</v>
      </c>
      <c r="S68" t="s">
        <v>157</v>
      </c>
      <c r="T68" t="s">
        <v>33</v>
      </c>
      <c r="V68" s="2" t="s">
        <v>177</v>
      </c>
      <c r="W68">
        <v>20</v>
      </c>
      <c r="X68" s="5">
        <v>1300</v>
      </c>
      <c r="Y68">
        <v>2.9889999999999999E-3</v>
      </c>
      <c r="AB68" s="23" t="s">
        <v>178</v>
      </c>
      <c r="AC68" s="8" t="s">
        <v>179</v>
      </c>
    </row>
    <row r="69" spans="1:29" ht="16" x14ac:dyDescent="0.2">
      <c r="B69" s="3" t="s">
        <v>180</v>
      </c>
      <c r="F69" s="28"/>
      <c r="G69"/>
      <c r="H69">
        <v>40.19</v>
      </c>
      <c r="I69" s="2">
        <v>250.29400000000001</v>
      </c>
      <c r="J69" s="13"/>
      <c r="K69" s="13"/>
      <c r="L69" s="13"/>
      <c r="M69" s="52"/>
      <c r="N69" s="13"/>
      <c r="O69" s="13">
        <v>40.19</v>
      </c>
      <c r="P69" s="18">
        <v>250.29400000000001</v>
      </c>
      <c r="Q69" t="s">
        <v>154</v>
      </c>
      <c r="R69">
        <v>14</v>
      </c>
      <c r="S69" t="s">
        <v>46</v>
      </c>
      <c r="T69" t="s">
        <v>51</v>
      </c>
      <c r="U69">
        <v>353500</v>
      </c>
      <c r="V69" s="2" t="s">
        <v>181</v>
      </c>
      <c r="W69">
        <v>32.799999999999997</v>
      </c>
      <c r="X69" s="5">
        <v>700000</v>
      </c>
      <c r="AB69" s="23" t="s">
        <v>182</v>
      </c>
      <c r="AC69" s="49" t="s">
        <v>183</v>
      </c>
    </row>
    <row r="70" spans="1:29" ht="16" x14ac:dyDescent="0.2">
      <c r="B70" s="3" t="s">
        <v>184</v>
      </c>
      <c r="C70">
        <v>307.8</v>
      </c>
      <c r="E70">
        <v>820.9</v>
      </c>
      <c r="F70" s="28"/>
      <c r="G70"/>
      <c r="H70"/>
      <c r="J70" s="13">
        <v>307.8</v>
      </c>
      <c r="K70" s="13"/>
      <c r="L70" s="13">
        <v>820.9</v>
      </c>
      <c r="M70" s="52"/>
      <c r="N70" s="13"/>
      <c r="O70" s="13"/>
      <c r="P70" s="18"/>
      <c r="Q70" t="s">
        <v>161</v>
      </c>
      <c r="R70">
        <v>14</v>
      </c>
      <c r="S70" t="s">
        <v>185</v>
      </c>
      <c r="T70" t="s">
        <v>51</v>
      </c>
      <c r="V70" s="2" t="s">
        <v>34</v>
      </c>
      <c r="W70">
        <v>28</v>
      </c>
      <c r="X70" s="5">
        <v>81150</v>
      </c>
      <c r="Y70">
        <v>1.238E-3</v>
      </c>
      <c r="Z70">
        <v>37</v>
      </c>
      <c r="AB70" s="23" t="s">
        <v>186</v>
      </c>
      <c r="AC70" t="s">
        <v>187</v>
      </c>
    </row>
    <row r="71" spans="1:29" ht="16" x14ac:dyDescent="0.2">
      <c r="B71" s="3" t="s">
        <v>188</v>
      </c>
      <c r="C71">
        <v>43.75</v>
      </c>
      <c r="E71">
        <v>744.95</v>
      </c>
      <c r="F71" s="28"/>
      <c r="G71"/>
      <c r="H71"/>
      <c r="J71" s="13">
        <v>17.5</v>
      </c>
      <c r="K71" s="13"/>
      <c r="L71" s="13">
        <v>297.98</v>
      </c>
      <c r="M71" s="52"/>
      <c r="N71" s="13"/>
      <c r="O71" s="13"/>
      <c r="P71" s="18"/>
      <c r="Q71" t="s">
        <v>31</v>
      </c>
      <c r="R71">
        <v>15</v>
      </c>
      <c r="S71" t="s">
        <v>46</v>
      </c>
      <c r="T71" t="s">
        <v>33</v>
      </c>
      <c r="V71" s="2" t="s">
        <v>34</v>
      </c>
      <c r="W71">
        <v>41.1</v>
      </c>
      <c r="X71" s="5">
        <v>63000</v>
      </c>
      <c r="AA71" s="2" t="s">
        <v>35</v>
      </c>
      <c r="AB71" s="23" t="s">
        <v>189</v>
      </c>
      <c r="AC71" s="8" t="s">
        <v>190</v>
      </c>
    </row>
    <row r="72" spans="1:29" ht="16" x14ac:dyDescent="0.2">
      <c r="B72" s="3" t="s">
        <v>191</v>
      </c>
      <c r="F72" s="28"/>
      <c r="G72"/>
      <c r="H72">
        <v>332</v>
      </c>
      <c r="J72" s="13"/>
      <c r="K72" s="13"/>
      <c r="L72" s="13"/>
      <c r="M72" s="52"/>
      <c r="N72" s="13"/>
      <c r="O72" s="13">
        <v>332</v>
      </c>
      <c r="P72" s="18"/>
      <c r="Q72" t="s">
        <v>31</v>
      </c>
      <c r="R72">
        <v>4</v>
      </c>
      <c r="S72" t="s">
        <v>35</v>
      </c>
      <c r="T72" t="s">
        <v>51</v>
      </c>
      <c r="V72" s="2" t="s">
        <v>34</v>
      </c>
      <c r="W72">
        <v>65</v>
      </c>
      <c r="X72">
        <v>3940034</v>
      </c>
      <c r="Y72">
        <v>8.9999999999999998E-4</v>
      </c>
      <c r="Z72">
        <v>36.200000000000003</v>
      </c>
      <c r="AA72" s="2" t="s">
        <v>35</v>
      </c>
      <c r="AB72" s="23" t="s">
        <v>192</v>
      </c>
      <c r="AC72" s="49" t="s">
        <v>193</v>
      </c>
    </row>
    <row r="73" spans="1:29" ht="16" x14ac:dyDescent="0.2">
      <c r="A73" t="s">
        <v>28</v>
      </c>
      <c r="B73" s="3" t="s">
        <v>194</v>
      </c>
      <c r="C73">
        <v>4.375</v>
      </c>
      <c r="E73">
        <v>43.6</v>
      </c>
      <c r="F73" s="28"/>
      <c r="G73"/>
      <c r="H73"/>
      <c r="J73" s="13">
        <v>1.75</v>
      </c>
      <c r="K73" s="13"/>
      <c r="L73" s="13">
        <v>43.6</v>
      </c>
      <c r="M73" s="52"/>
      <c r="N73" s="13"/>
      <c r="O73" s="13"/>
      <c r="P73" s="18"/>
      <c r="Q73" t="s">
        <v>31</v>
      </c>
      <c r="R73" t="s">
        <v>195</v>
      </c>
      <c r="S73" t="s">
        <v>46</v>
      </c>
      <c r="T73" t="s">
        <v>33</v>
      </c>
      <c r="U73">
        <v>3036.36</v>
      </c>
      <c r="V73" s="2" t="s">
        <v>34</v>
      </c>
      <c r="W73"/>
      <c r="X73">
        <v>2800</v>
      </c>
      <c r="AB73" s="23" t="s">
        <v>196</v>
      </c>
      <c r="AC73" t="s">
        <v>197</v>
      </c>
    </row>
    <row r="74" spans="1:29" ht="16" x14ac:dyDescent="0.2">
      <c r="B74" s="20" t="s">
        <v>56</v>
      </c>
      <c r="C74">
        <v>6.3</v>
      </c>
      <c r="D74">
        <v>102.75</v>
      </c>
      <c r="E74">
        <v>19.2</v>
      </c>
      <c r="F74" s="28">
        <v>283.89999999999998</v>
      </c>
      <c r="G74">
        <f>C74+D74</f>
        <v>109.05</v>
      </c>
      <c r="H74">
        <f>C74+D74</f>
        <v>109.05</v>
      </c>
      <c r="I74" s="2">
        <f>E74+F74</f>
        <v>303.09999999999997</v>
      </c>
      <c r="J74" s="13">
        <v>2.52</v>
      </c>
      <c r="K74" s="13">
        <v>41.1</v>
      </c>
      <c r="L74" s="13">
        <v>7.68</v>
      </c>
      <c r="M74" s="52">
        <v>113.56</v>
      </c>
      <c r="N74" s="13">
        <v>43.62</v>
      </c>
      <c r="O74" s="13">
        <v>43.62</v>
      </c>
      <c r="P74" s="18">
        <v>121.24</v>
      </c>
      <c r="Q74" t="s">
        <v>31</v>
      </c>
      <c r="R74" t="s">
        <v>198</v>
      </c>
      <c r="S74" t="s">
        <v>46</v>
      </c>
      <c r="T74" t="s">
        <v>33</v>
      </c>
      <c r="W74">
        <v>42.3</v>
      </c>
      <c r="X74" s="5">
        <v>215000</v>
      </c>
      <c r="AC74" t="s">
        <v>57</v>
      </c>
    </row>
    <row r="75" spans="1:29" ht="16" x14ac:dyDescent="0.2">
      <c r="B75" s="3" t="s">
        <v>53</v>
      </c>
      <c r="C75">
        <v>30</v>
      </c>
      <c r="D75">
        <v>640</v>
      </c>
      <c r="E75">
        <v>115</v>
      </c>
      <c r="F75" s="28">
        <v>1320</v>
      </c>
      <c r="G75">
        <f>C75+D75</f>
        <v>670</v>
      </c>
      <c r="H75">
        <v>670</v>
      </c>
      <c r="I75" s="2">
        <v>1435</v>
      </c>
      <c r="J75" s="35">
        <v>30</v>
      </c>
      <c r="K75" s="35">
        <v>640</v>
      </c>
      <c r="L75" s="35">
        <v>115</v>
      </c>
      <c r="M75" s="56">
        <v>1320</v>
      </c>
      <c r="N75" s="35">
        <v>670</v>
      </c>
      <c r="O75" s="35">
        <v>670</v>
      </c>
      <c r="P75" s="35">
        <v>1435</v>
      </c>
      <c r="Q75" s="24" t="s">
        <v>31</v>
      </c>
      <c r="R75" t="s">
        <v>198</v>
      </c>
      <c r="S75" t="s">
        <v>46</v>
      </c>
      <c r="V75" s="2" t="s">
        <v>54</v>
      </c>
      <c r="W75" s="24">
        <v>24.3</v>
      </c>
      <c r="X75" s="5">
        <v>164500</v>
      </c>
      <c r="Y75">
        <v>1.1709999999999999E-3</v>
      </c>
      <c r="Z75">
        <v>38</v>
      </c>
      <c r="AB75" s="23" t="s">
        <v>199</v>
      </c>
      <c r="AC75" s="49" t="s">
        <v>200</v>
      </c>
    </row>
    <row r="76" spans="1:29" ht="16" x14ac:dyDescent="0.2">
      <c r="A76" t="s">
        <v>28</v>
      </c>
      <c r="B76" s="3" t="s">
        <v>104</v>
      </c>
      <c r="C76">
        <v>20</v>
      </c>
      <c r="E76">
        <v>40</v>
      </c>
      <c r="F76" s="28"/>
      <c r="G76"/>
      <c r="H76"/>
      <c r="J76" s="13">
        <v>8</v>
      </c>
      <c r="K76" s="13"/>
      <c r="L76" s="13">
        <v>16</v>
      </c>
      <c r="M76" s="52"/>
      <c r="N76" s="13"/>
      <c r="O76" s="13"/>
      <c r="P76" s="13"/>
      <c r="Q76" s="24" t="s">
        <v>31</v>
      </c>
      <c r="R76" t="s">
        <v>201</v>
      </c>
      <c r="S76" t="s">
        <v>105</v>
      </c>
      <c r="T76" t="s">
        <v>33</v>
      </c>
      <c r="W76" s="24">
        <v>60.1</v>
      </c>
      <c r="X76" s="5">
        <v>139842</v>
      </c>
      <c r="AA76" s="2" t="s">
        <v>35</v>
      </c>
      <c r="AB76" s="23" t="s">
        <v>202</v>
      </c>
      <c r="AC76" s="50" t="s">
        <v>106</v>
      </c>
    </row>
    <row r="77" spans="1:29" ht="16" x14ac:dyDescent="0.2">
      <c r="B77" s="3" t="s">
        <v>203</v>
      </c>
      <c r="C77">
        <v>58.4</v>
      </c>
      <c r="D77">
        <v>1030</v>
      </c>
      <c r="E77">
        <v>104.2</v>
      </c>
      <c r="F77" s="28">
        <v>2120</v>
      </c>
      <c r="G77">
        <f t="shared" ref="G77:G87" si="0">C77+D77</f>
        <v>1088.4000000000001</v>
      </c>
      <c r="H77">
        <v>1088.4000000000001</v>
      </c>
      <c r="I77" s="2">
        <v>2224.1999999999998</v>
      </c>
      <c r="J77" s="13">
        <v>58.4</v>
      </c>
      <c r="K77" s="13">
        <v>1030</v>
      </c>
      <c r="L77" s="13">
        <v>104.2</v>
      </c>
      <c r="M77" s="52">
        <v>2120</v>
      </c>
      <c r="N77" s="13">
        <v>1088.4000000000001</v>
      </c>
      <c r="O77" s="13">
        <v>1088.4000000000001</v>
      </c>
      <c r="P77" s="13">
        <v>2224.1999999999998</v>
      </c>
      <c r="Q77" s="24" t="s">
        <v>31</v>
      </c>
      <c r="R77" t="s">
        <v>204</v>
      </c>
      <c r="S77" t="s">
        <v>46</v>
      </c>
      <c r="T77" t="s">
        <v>51</v>
      </c>
      <c r="W77" s="24">
        <v>17.399999999999999</v>
      </c>
      <c r="X77" s="5">
        <v>1332</v>
      </c>
      <c r="AB77" s="23" t="s">
        <v>205</v>
      </c>
      <c r="AC77" t="s">
        <v>206</v>
      </c>
    </row>
    <row r="78" spans="1:29" ht="16" x14ac:dyDescent="0.2">
      <c r="B78" s="3" t="s">
        <v>207</v>
      </c>
      <c r="C78">
        <v>23.725000000000001</v>
      </c>
      <c r="D78">
        <v>64.758300000000006</v>
      </c>
      <c r="E78">
        <v>49.3</v>
      </c>
      <c r="F78" s="28">
        <v>178.8</v>
      </c>
      <c r="G78">
        <f t="shared" si="0"/>
        <v>88.483300000000014</v>
      </c>
      <c r="H78">
        <v>88.4833</v>
      </c>
      <c r="I78" s="2">
        <v>228.1</v>
      </c>
      <c r="J78" s="13">
        <v>23.725000000000001</v>
      </c>
      <c r="K78" s="13">
        <v>64.758300000000006</v>
      </c>
      <c r="L78" s="13">
        <v>49.3</v>
      </c>
      <c r="M78" s="52">
        <v>178.8</v>
      </c>
      <c r="N78" s="13">
        <v>88.4833</v>
      </c>
      <c r="O78" s="13">
        <v>88.4833</v>
      </c>
      <c r="P78" s="13">
        <v>228.1</v>
      </c>
      <c r="Q78" s="24" t="s">
        <v>31</v>
      </c>
      <c r="R78" t="s">
        <v>204</v>
      </c>
      <c r="S78" t="s">
        <v>46</v>
      </c>
      <c r="T78" t="s">
        <v>51</v>
      </c>
      <c r="V78" s="2" t="s">
        <v>84</v>
      </c>
      <c r="W78" s="24">
        <v>39.5</v>
      </c>
      <c r="X78" s="5">
        <v>800000</v>
      </c>
      <c r="Y78">
        <v>8.7399999999999999E-4</v>
      </c>
      <c r="Z78">
        <v>37.1</v>
      </c>
      <c r="AB78" s="23" t="s">
        <v>208</v>
      </c>
      <c r="AC78" t="s">
        <v>209</v>
      </c>
    </row>
    <row r="79" spans="1:29" ht="16" x14ac:dyDescent="0.2">
      <c r="B79" s="3" t="s">
        <v>210</v>
      </c>
      <c r="C79">
        <v>64.122</v>
      </c>
      <c r="D79">
        <v>104.312</v>
      </c>
      <c r="E79">
        <v>14.9099</v>
      </c>
      <c r="F79" s="28">
        <v>59.786999999999999</v>
      </c>
      <c r="G79">
        <f t="shared" si="0"/>
        <v>168.434</v>
      </c>
      <c r="H79">
        <f>C79+D79</f>
        <v>168.434</v>
      </c>
      <c r="I79" s="2">
        <f>E79+F79</f>
        <v>74.696899999999999</v>
      </c>
      <c r="J79" s="13">
        <v>25.648800000000001</v>
      </c>
      <c r="K79" s="13">
        <v>41.648000000000003</v>
      </c>
      <c r="L79" s="13">
        <v>5.9639600000000002</v>
      </c>
      <c r="M79" s="52">
        <v>23.9148</v>
      </c>
      <c r="N79" s="13">
        <v>67.373599999999996</v>
      </c>
      <c r="O79" s="13">
        <v>67.3767</v>
      </c>
      <c r="P79" s="18">
        <v>29.878799999999998</v>
      </c>
      <c r="Q79" s="24" t="s">
        <v>31</v>
      </c>
      <c r="R79" t="s">
        <v>204</v>
      </c>
      <c r="S79" t="s">
        <v>46</v>
      </c>
      <c r="T79" t="s">
        <v>33</v>
      </c>
      <c r="V79" s="2" t="s">
        <v>211</v>
      </c>
      <c r="W79" s="24">
        <v>27.4</v>
      </c>
      <c r="X79" s="5">
        <v>315000</v>
      </c>
      <c r="Z79">
        <v>37.700000000000003</v>
      </c>
      <c r="AB79" s="23" t="s">
        <v>212</v>
      </c>
      <c r="AC79" s="49" t="s">
        <v>213</v>
      </c>
    </row>
    <row r="80" spans="1:29" ht="16" x14ac:dyDescent="0.2">
      <c r="B80" s="20" t="s">
        <v>214</v>
      </c>
      <c r="C80">
        <v>618.5</v>
      </c>
      <c r="D80">
        <v>232.9</v>
      </c>
      <c r="E80">
        <v>1850.3</v>
      </c>
      <c r="F80" s="28">
        <v>3578</v>
      </c>
      <c r="G80">
        <f t="shared" si="0"/>
        <v>851.4</v>
      </c>
      <c r="H80"/>
      <c r="J80" s="13">
        <v>618.5</v>
      </c>
      <c r="K80" s="13">
        <v>232.9</v>
      </c>
      <c r="L80" s="13">
        <v>1850.3</v>
      </c>
      <c r="M80" s="52">
        <v>3578</v>
      </c>
      <c r="N80" s="13">
        <v>851.4</v>
      </c>
      <c r="O80" s="13"/>
      <c r="P80" s="18"/>
      <c r="Q80" s="24" t="s">
        <v>215</v>
      </c>
      <c r="R80" t="s">
        <v>216</v>
      </c>
      <c r="S80" t="s">
        <v>217</v>
      </c>
      <c r="T80" t="s">
        <v>51</v>
      </c>
      <c r="V80" s="2" t="s">
        <v>34</v>
      </c>
      <c r="W80" s="24">
        <v>20.5</v>
      </c>
      <c r="X80" s="6">
        <v>38446.1</v>
      </c>
      <c r="Y80">
        <v>1.6069999999999999E-3</v>
      </c>
      <c r="Z80">
        <v>39</v>
      </c>
      <c r="AC80" s="49" t="s">
        <v>218</v>
      </c>
    </row>
    <row r="81" spans="1:29" ht="16" x14ac:dyDescent="0.2">
      <c r="B81" s="3" t="s">
        <v>219</v>
      </c>
      <c r="C81">
        <v>213.6</v>
      </c>
      <c r="D81">
        <v>354.7</v>
      </c>
      <c r="E81">
        <v>384.6</v>
      </c>
      <c r="F81" s="28">
        <v>544.5</v>
      </c>
      <c r="G81">
        <f t="shared" si="0"/>
        <v>568.29999999999995</v>
      </c>
      <c r="H81">
        <f t="shared" ref="H81:H87" si="1">C81+D81</f>
        <v>568.29999999999995</v>
      </c>
      <c r="I81" s="2">
        <f t="shared" ref="I81:I87" si="2">E81+F81</f>
        <v>929.1</v>
      </c>
      <c r="J81" s="13">
        <v>213.6</v>
      </c>
      <c r="K81" s="13">
        <v>354.7</v>
      </c>
      <c r="L81" s="13">
        <v>384.6</v>
      </c>
      <c r="M81" s="52">
        <v>544.5</v>
      </c>
      <c r="N81" s="13">
        <v>568.29999999999995</v>
      </c>
      <c r="O81" s="13">
        <v>568.29999999999995</v>
      </c>
      <c r="P81" s="18">
        <v>929.1</v>
      </c>
      <c r="Q81" s="24" t="s">
        <v>215</v>
      </c>
      <c r="R81" t="s">
        <v>216</v>
      </c>
      <c r="S81" t="s">
        <v>217</v>
      </c>
      <c r="T81" t="s">
        <v>51</v>
      </c>
      <c r="V81" s="2" t="s">
        <v>34</v>
      </c>
      <c r="W81" s="24">
        <v>30</v>
      </c>
      <c r="X81" s="5">
        <v>3900</v>
      </c>
      <c r="Z81">
        <v>38.1</v>
      </c>
      <c r="AA81" s="2" t="s">
        <v>35</v>
      </c>
      <c r="AC81" s="49" t="s">
        <v>218</v>
      </c>
    </row>
    <row r="82" spans="1:29" ht="16" x14ac:dyDescent="0.2">
      <c r="B82" s="3" t="s">
        <v>220</v>
      </c>
      <c r="C82">
        <v>48.7</v>
      </c>
      <c r="D82">
        <v>64.099999999999994</v>
      </c>
      <c r="E82">
        <v>1428.8</v>
      </c>
      <c r="F82" s="28">
        <v>666.5</v>
      </c>
      <c r="G82">
        <f t="shared" si="0"/>
        <v>112.8</v>
      </c>
      <c r="H82">
        <f t="shared" si="1"/>
        <v>112.8</v>
      </c>
      <c r="I82" s="2">
        <f t="shared" si="2"/>
        <v>2095.3000000000002</v>
      </c>
      <c r="J82" s="13">
        <v>48.7</v>
      </c>
      <c r="K82" s="13">
        <v>64.099999999999994</v>
      </c>
      <c r="L82" s="13">
        <v>1428.8</v>
      </c>
      <c r="M82" s="52">
        <v>666.5</v>
      </c>
      <c r="N82" s="13">
        <v>112.8</v>
      </c>
      <c r="O82" s="13">
        <v>112.8</v>
      </c>
      <c r="P82" s="18">
        <v>2095.3000000000002</v>
      </c>
      <c r="Q82" s="24" t="s">
        <v>215</v>
      </c>
      <c r="R82" t="s">
        <v>216</v>
      </c>
      <c r="S82" t="s">
        <v>217</v>
      </c>
      <c r="T82" t="s">
        <v>51</v>
      </c>
      <c r="V82" s="2" t="s">
        <v>34</v>
      </c>
      <c r="W82" s="24">
        <v>33.299999999999997</v>
      </c>
      <c r="X82" s="5">
        <v>100000</v>
      </c>
      <c r="Y82">
        <v>7.0299999999999996E-4</v>
      </c>
      <c r="AC82" s="8" t="s">
        <v>218</v>
      </c>
    </row>
    <row r="83" spans="1:29" ht="16" x14ac:dyDescent="0.2">
      <c r="B83" s="3" t="s">
        <v>221</v>
      </c>
      <c r="C83">
        <v>170.1</v>
      </c>
      <c r="D83">
        <v>101.9</v>
      </c>
      <c r="E83">
        <v>324.60000000000002</v>
      </c>
      <c r="F83" s="28">
        <v>174.7</v>
      </c>
      <c r="G83">
        <f t="shared" si="0"/>
        <v>272</v>
      </c>
      <c r="H83">
        <f t="shared" si="1"/>
        <v>272</v>
      </c>
      <c r="I83" s="2">
        <f t="shared" si="2"/>
        <v>499.3</v>
      </c>
      <c r="J83" s="13">
        <v>170.1</v>
      </c>
      <c r="K83" s="13">
        <v>101.9</v>
      </c>
      <c r="L83" s="13">
        <v>324.60000000000002</v>
      </c>
      <c r="M83" s="52">
        <v>174.7</v>
      </c>
      <c r="N83" s="13">
        <v>272</v>
      </c>
      <c r="O83" s="13">
        <v>272</v>
      </c>
      <c r="P83" s="18">
        <v>499.3</v>
      </c>
      <c r="Q83" s="24" t="s">
        <v>215</v>
      </c>
      <c r="R83" t="s">
        <v>216</v>
      </c>
      <c r="S83" t="s">
        <v>217</v>
      </c>
      <c r="T83" t="s">
        <v>51</v>
      </c>
      <c r="V83" s="2" t="s">
        <v>34</v>
      </c>
      <c r="W83" s="24">
        <v>9.4</v>
      </c>
      <c r="X83" s="5">
        <v>1021</v>
      </c>
      <c r="AA83" s="2" t="s">
        <v>35</v>
      </c>
      <c r="AC83" t="s">
        <v>218</v>
      </c>
    </row>
    <row r="84" spans="1:29" ht="16" x14ac:dyDescent="0.2">
      <c r="B84" s="3" t="s">
        <v>222</v>
      </c>
      <c r="C84">
        <v>248.8</v>
      </c>
      <c r="D84">
        <v>302.2</v>
      </c>
      <c r="E84">
        <v>1100.7</v>
      </c>
      <c r="F84" s="28">
        <v>1621.8</v>
      </c>
      <c r="G84">
        <f t="shared" si="0"/>
        <v>551</v>
      </c>
      <c r="H84">
        <f t="shared" si="1"/>
        <v>551</v>
      </c>
      <c r="I84" s="2">
        <f t="shared" si="2"/>
        <v>2722.5</v>
      </c>
      <c r="J84" s="13">
        <v>248.8</v>
      </c>
      <c r="K84" s="13">
        <v>302.2</v>
      </c>
      <c r="L84" s="13">
        <v>1100.7</v>
      </c>
      <c r="M84" s="52">
        <v>1621.8</v>
      </c>
      <c r="N84" s="13">
        <v>551</v>
      </c>
      <c r="O84" s="13">
        <v>551</v>
      </c>
      <c r="P84" s="18">
        <v>2722.5</v>
      </c>
      <c r="Q84" s="24" t="s">
        <v>215</v>
      </c>
      <c r="R84" t="s">
        <v>216</v>
      </c>
      <c r="S84" t="s">
        <v>217</v>
      </c>
      <c r="T84" t="s">
        <v>51</v>
      </c>
      <c r="V84" s="2" t="s">
        <v>34</v>
      </c>
      <c r="W84">
        <v>19.8</v>
      </c>
      <c r="X84" s="5">
        <v>19500</v>
      </c>
      <c r="AA84" s="2" t="s">
        <v>35</v>
      </c>
      <c r="AC84" t="s">
        <v>218</v>
      </c>
    </row>
    <row r="85" spans="1:29" ht="16" x14ac:dyDescent="0.2">
      <c r="B85" s="3" t="s">
        <v>223</v>
      </c>
      <c r="C85">
        <v>80.7</v>
      </c>
      <c r="D85">
        <v>45.1</v>
      </c>
      <c r="E85">
        <v>369.6</v>
      </c>
      <c r="F85" s="28">
        <v>212.8</v>
      </c>
      <c r="G85">
        <f t="shared" si="0"/>
        <v>125.80000000000001</v>
      </c>
      <c r="H85">
        <f t="shared" si="1"/>
        <v>125.80000000000001</v>
      </c>
      <c r="I85" s="2">
        <f t="shared" si="2"/>
        <v>582.40000000000009</v>
      </c>
      <c r="J85" s="13">
        <v>80.7</v>
      </c>
      <c r="K85" s="13">
        <v>45.1</v>
      </c>
      <c r="L85" s="13">
        <v>369.6</v>
      </c>
      <c r="M85" s="52">
        <v>212.8</v>
      </c>
      <c r="N85" s="13">
        <v>125.8</v>
      </c>
      <c r="O85" s="13">
        <v>125.8</v>
      </c>
      <c r="P85" s="18">
        <v>582.4</v>
      </c>
      <c r="Q85" s="24" t="s">
        <v>215</v>
      </c>
      <c r="R85" t="s">
        <v>216</v>
      </c>
      <c r="S85" t="s">
        <v>217</v>
      </c>
      <c r="T85" t="s">
        <v>51</v>
      </c>
      <c r="V85" s="2" t="s">
        <v>34</v>
      </c>
      <c r="W85">
        <v>39.200000000000003</v>
      </c>
      <c r="X85" s="5">
        <v>103750</v>
      </c>
      <c r="Z85">
        <v>37.5</v>
      </c>
      <c r="AA85" s="2" t="s">
        <v>35</v>
      </c>
      <c r="AB85" s="23" t="s">
        <v>224</v>
      </c>
      <c r="AC85" s="8" t="s">
        <v>218</v>
      </c>
    </row>
    <row r="86" spans="1:29" ht="16" x14ac:dyDescent="0.2">
      <c r="B86" s="3" t="s">
        <v>225</v>
      </c>
      <c r="C86">
        <v>312.55</v>
      </c>
      <c r="D86">
        <v>215.8</v>
      </c>
      <c r="E86">
        <v>969.85</v>
      </c>
      <c r="F86" s="28">
        <v>684.8</v>
      </c>
      <c r="G86">
        <f t="shared" si="0"/>
        <v>528.35</v>
      </c>
      <c r="H86">
        <f t="shared" si="1"/>
        <v>528.35</v>
      </c>
      <c r="I86" s="2">
        <f t="shared" si="2"/>
        <v>1654.65</v>
      </c>
      <c r="J86" s="13">
        <v>312.55</v>
      </c>
      <c r="K86" s="13">
        <v>215.8</v>
      </c>
      <c r="L86" s="13">
        <v>969.85</v>
      </c>
      <c r="M86" s="52">
        <v>684.8</v>
      </c>
      <c r="N86" s="13">
        <v>528.35</v>
      </c>
      <c r="O86" s="13">
        <v>528.35</v>
      </c>
      <c r="P86" s="18">
        <v>1654.65</v>
      </c>
      <c r="Q86" s="24" t="s">
        <v>215</v>
      </c>
      <c r="R86" t="s">
        <v>216</v>
      </c>
      <c r="S86" t="s">
        <v>217</v>
      </c>
      <c r="T86" t="s">
        <v>51</v>
      </c>
      <c r="V86" s="2" t="s">
        <v>34</v>
      </c>
      <c r="W86"/>
      <c r="X86">
        <v>22983.200000000001</v>
      </c>
      <c r="AB86" s="23" t="s">
        <v>226</v>
      </c>
      <c r="AC86" s="49" t="s">
        <v>218</v>
      </c>
    </row>
    <row r="87" spans="1:29" ht="16" x14ac:dyDescent="0.2">
      <c r="B87" s="3" t="s">
        <v>227</v>
      </c>
      <c r="C87">
        <v>110.2</v>
      </c>
      <c r="D87">
        <v>175</v>
      </c>
      <c r="E87">
        <v>614.1</v>
      </c>
      <c r="F87" s="28">
        <v>2672.8</v>
      </c>
      <c r="G87">
        <f t="shared" si="0"/>
        <v>285.2</v>
      </c>
      <c r="H87">
        <f t="shared" si="1"/>
        <v>285.2</v>
      </c>
      <c r="I87" s="2">
        <f t="shared" si="2"/>
        <v>3286.9</v>
      </c>
      <c r="J87" s="13">
        <v>110.2</v>
      </c>
      <c r="K87" s="13">
        <v>175</v>
      </c>
      <c r="L87" s="13">
        <v>614.1</v>
      </c>
      <c r="M87" s="52">
        <v>2672.8</v>
      </c>
      <c r="N87" s="13">
        <v>285.2</v>
      </c>
      <c r="O87" s="13">
        <v>285.2</v>
      </c>
      <c r="P87" s="18">
        <v>3286.9</v>
      </c>
      <c r="Q87" s="24" t="s">
        <v>215</v>
      </c>
      <c r="R87" t="s">
        <v>216</v>
      </c>
      <c r="S87" t="s">
        <v>46</v>
      </c>
      <c r="T87" t="s">
        <v>51</v>
      </c>
      <c r="V87" s="2" t="s">
        <v>34</v>
      </c>
      <c r="W87">
        <v>20.6</v>
      </c>
      <c r="X87" s="5">
        <v>776</v>
      </c>
      <c r="Y87">
        <v>2.0339999999999998E-3</v>
      </c>
      <c r="Z87">
        <v>36.299999999999997</v>
      </c>
      <c r="AC87" s="8" t="s">
        <v>218</v>
      </c>
    </row>
    <row r="88" spans="1:29" ht="16" x14ac:dyDescent="0.2">
      <c r="B88" s="3" t="s">
        <v>228</v>
      </c>
      <c r="C88">
        <v>47.548299999999998</v>
      </c>
      <c r="E88">
        <v>65.816100000000006</v>
      </c>
      <c r="F88" s="28"/>
      <c r="G88"/>
      <c r="H88"/>
      <c r="J88" s="13">
        <v>47.548299999999998</v>
      </c>
      <c r="K88" s="13"/>
      <c r="L88" s="13">
        <v>65.816100000000006</v>
      </c>
      <c r="M88" s="52"/>
      <c r="N88" s="13"/>
      <c r="O88" s="13"/>
      <c r="P88" s="18"/>
      <c r="Q88" s="24" t="s">
        <v>229</v>
      </c>
      <c r="S88" t="s">
        <v>230</v>
      </c>
      <c r="T88" t="s">
        <v>51</v>
      </c>
      <c r="V88" s="2" t="s">
        <v>231</v>
      </c>
      <c r="W88" s="5">
        <v>20</v>
      </c>
      <c r="X88" s="5">
        <v>12000</v>
      </c>
      <c r="Z88" t="s">
        <v>35</v>
      </c>
      <c r="AB88" s="23" t="s">
        <v>232</v>
      </c>
      <c r="AC88" s="8" t="s">
        <v>233</v>
      </c>
    </row>
    <row r="89" spans="1:29" ht="16" x14ac:dyDescent="0.2">
      <c r="B89" s="3" t="s">
        <v>234</v>
      </c>
      <c r="C89">
        <v>114.66</v>
      </c>
      <c r="E89">
        <v>179.49199999999999</v>
      </c>
      <c r="F89" s="28"/>
      <c r="G89"/>
      <c r="H89"/>
      <c r="J89" s="13">
        <v>114.66</v>
      </c>
      <c r="K89" s="13"/>
      <c r="L89" s="13">
        <v>179.49199999999999</v>
      </c>
      <c r="M89" s="52"/>
      <c r="N89" s="13"/>
      <c r="O89" s="13"/>
      <c r="P89" s="18"/>
      <c r="Q89" s="24" t="s">
        <v>229</v>
      </c>
      <c r="S89" t="s">
        <v>235</v>
      </c>
      <c r="T89" t="s">
        <v>51</v>
      </c>
      <c r="V89" s="2" t="s">
        <v>34</v>
      </c>
      <c r="W89">
        <v>36.799999999999997</v>
      </c>
      <c r="X89" s="5">
        <v>117500</v>
      </c>
      <c r="AB89" s="23" t="s">
        <v>236</v>
      </c>
      <c r="AC89" t="s">
        <v>237</v>
      </c>
    </row>
    <row r="90" spans="1:29" ht="16" x14ac:dyDescent="0.2">
      <c r="B90" s="3" t="s">
        <v>238</v>
      </c>
      <c r="C90">
        <v>4.0999999999999996</v>
      </c>
      <c r="D90">
        <v>8.6</v>
      </c>
      <c r="E90">
        <v>28.3</v>
      </c>
      <c r="F90" s="28">
        <v>27.2</v>
      </c>
      <c r="G90">
        <f>C90+D90</f>
        <v>12.7</v>
      </c>
      <c r="H90">
        <f>C90+D90</f>
        <v>12.7</v>
      </c>
      <c r="I90" s="2">
        <f>E90+F90</f>
        <v>55.5</v>
      </c>
      <c r="J90" s="13">
        <v>4.0999999999999996</v>
      </c>
      <c r="K90" s="13">
        <v>8.6</v>
      </c>
      <c r="L90" s="13">
        <v>28.3</v>
      </c>
      <c r="M90" s="52">
        <v>27.2</v>
      </c>
      <c r="N90" s="13">
        <v>12.7</v>
      </c>
      <c r="O90" s="13">
        <v>12.7</v>
      </c>
      <c r="P90" s="18">
        <v>55.5</v>
      </c>
      <c r="Q90" s="24" t="s">
        <v>239</v>
      </c>
      <c r="S90" t="s">
        <v>240</v>
      </c>
      <c r="T90" t="s">
        <v>51</v>
      </c>
      <c r="V90" s="2" t="s">
        <v>34</v>
      </c>
      <c r="W90">
        <v>45</v>
      </c>
      <c r="X90" s="5">
        <v>2175000</v>
      </c>
      <c r="AC90" t="s">
        <v>241</v>
      </c>
    </row>
    <row r="91" spans="1:29" ht="16" x14ac:dyDescent="0.2">
      <c r="A91" t="s">
        <v>28</v>
      </c>
      <c r="B91" s="3" t="s">
        <v>242</v>
      </c>
      <c r="C91">
        <v>63.3</v>
      </c>
      <c r="F91" s="28"/>
      <c r="G91"/>
      <c r="H91"/>
      <c r="J91" s="13">
        <v>63.3</v>
      </c>
      <c r="K91" s="13"/>
      <c r="L91" s="13"/>
      <c r="M91" s="52"/>
      <c r="N91" s="13"/>
      <c r="O91" s="13"/>
      <c r="P91" s="18"/>
      <c r="Q91" s="24" t="s">
        <v>168</v>
      </c>
      <c r="S91" t="s">
        <v>243</v>
      </c>
      <c r="T91" t="s">
        <v>51</v>
      </c>
      <c r="V91" s="2" t="s">
        <v>34</v>
      </c>
      <c r="W91">
        <v>37.5</v>
      </c>
      <c r="X91" s="5">
        <v>18000</v>
      </c>
      <c r="Y91">
        <v>1.665E-3</v>
      </c>
      <c r="AB91" s="23" t="s">
        <v>244</v>
      </c>
      <c r="AC91" s="8" t="s">
        <v>245</v>
      </c>
    </row>
    <row r="92" spans="1:29" ht="16" x14ac:dyDescent="0.2">
      <c r="A92" t="s">
        <v>28</v>
      </c>
      <c r="B92" s="20" t="s">
        <v>246</v>
      </c>
      <c r="C92">
        <v>3.2</v>
      </c>
      <c r="E92">
        <v>5.15</v>
      </c>
      <c r="F92" s="28"/>
      <c r="G92"/>
      <c r="H92"/>
      <c r="J92" s="13">
        <v>1.28</v>
      </c>
      <c r="K92" s="13"/>
      <c r="L92" s="13">
        <v>2.06</v>
      </c>
      <c r="M92" s="52"/>
      <c r="N92" s="13"/>
      <c r="O92" s="13"/>
      <c r="P92" s="18"/>
      <c r="Q92" s="24" t="s">
        <v>168</v>
      </c>
      <c r="S92" t="s">
        <v>247</v>
      </c>
      <c r="T92" t="s">
        <v>33</v>
      </c>
      <c r="V92" s="2" t="s">
        <v>34</v>
      </c>
      <c r="W92">
        <v>68</v>
      </c>
      <c r="X92" s="5">
        <v>45000</v>
      </c>
      <c r="Y92">
        <v>2.5999999999999999E-3</v>
      </c>
      <c r="AA92" s="2" t="s">
        <v>35</v>
      </c>
      <c r="AB92" s="23" t="s">
        <v>248</v>
      </c>
      <c r="AC92" s="8" t="s">
        <v>249</v>
      </c>
    </row>
    <row r="93" spans="1:29" ht="16" x14ac:dyDescent="0.2">
      <c r="B93" s="3" t="s">
        <v>250</v>
      </c>
      <c r="F93" s="28"/>
      <c r="G93"/>
      <c r="H93">
        <v>24.02</v>
      </c>
      <c r="I93" s="2">
        <v>33.51</v>
      </c>
      <c r="J93" s="13"/>
      <c r="K93" s="13"/>
      <c r="L93" s="13"/>
      <c r="M93" s="52"/>
      <c r="N93" s="13"/>
      <c r="O93" s="13">
        <v>24.02</v>
      </c>
      <c r="P93" s="18">
        <v>33.51</v>
      </c>
      <c r="Q93" s="24" t="s">
        <v>154</v>
      </c>
      <c r="S93" t="s">
        <v>157</v>
      </c>
      <c r="T93" t="s">
        <v>51</v>
      </c>
      <c r="W93">
        <v>57</v>
      </c>
      <c r="X93" s="5">
        <v>444900</v>
      </c>
      <c r="Y93">
        <v>1.4E-3</v>
      </c>
      <c r="AA93" s="2">
        <v>65000</v>
      </c>
      <c r="AB93" s="23" t="s">
        <v>251</v>
      </c>
      <c r="AC93" s="49" t="s">
        <v>252</v>
      </c>
    </row>
    <row r="94" spans="1:29" ht="16" x14ac:dyDescent="0.2">
      <c r="B94" s="3" t="s">
        <v>253</v>
      </c>
      <c r="D94">
        <v>16.2</v>
      </c>
      <c r="F94" s="28">
        <v>25.1</v>
      </c>
      <c r="G94"/>
      <c r="H94"/>
      <c r="J94" s="13"/>
      <c r="K94" s="13">
        <v>16.2</v>
      </c>
      <c r="L94" s="13"/>
      <c r="M94" s="52">
        <v>25.1</v>
      </c>
      <c r="N94" s="13"/>
      <c r="O94" s="13"/>
      <c r="P94" s="18"/>
      <c r="Q94" s="24" t="s">
        <v>154</v>
      </c>
      <c r="S94" t="s">
        <v>157</v>
      </c>
      <c r="T94" t="s">
        <v>51</v>
      </c>
      <c r="V94" s="2" t="s">
        <v>34</v>
      </c>
      <c r="W94">
        <v>31</v>
      </c>
      <c r="X94" s="5">
        <v>384000</v>
      </c>
      <c r="AC94" t="s">
        <v>254</v>
      </c>
    </row>
    <row r="95" spans="1:29" ht="16" x14ac:dyDescent="0.2">
      <c r="B95" s="3" t="s">
        <v>255</v>
      </c>
      <c r="C95">
        <v>97.421999999999997</v>
      </c>
      <c r="E95">
        <v>1981.5070000000001</v>
      </c>
      <c r="F95" s="28"/>
      <c r="G95"/>
      <c r="H95"/>
      <c r="J95" s="13">
        <v>38.968800000000002</v>
      </c>
      <c r="K95" s="13"/>
      <c r="L95" s="13">
        <v>792.60299999999995</v>
      </c>
      <c r="M95" s="52"/>
      <c r="N95" s="13"/>
      <c r="O95" s="13"/>
      <c r="P95" s="18"/>
      <c r="Q95" s="24" t="s">
        <v>154</v>
      </c>
      <c r="S95" t="s">
        <v>46</v>
      </c>
      <c r="T95" t="s">
        <v>33</v>
      </c>
      <c r="W95">
        <v>35.9</v>
      </c>
      <c r="X95" s="5">
        <v>46000</v>
      </c>
      <c r="Z95">
        <v>38.1</v>
      </c>
      <c r="AB95" s="23" t="s">
        <v>256</v>
      </c>
      <c r="AC95" t="s">
        <v>155</v>
      </c>
    </row>
    <row r="96" spans="1:29" ht="16" x14ac:dyDescent="0.2">
      <c r="B96" s="3" t="s">
        <v>257</v>
      </c>
      <c r="C96">
        <v>45.469000000000001</v>
      </c>
      <c r="E96">
        <v>228.89965000000001</v>
      </c>
      <c r="F96" s="28"/>
      <c r="G96"/>
      <c r="H96"/>
      <c r="J96" s="13">
        <v>45.469000000000001</v>
      </c>
      <c r="K96" s="13"/>
      <c r="L96" s="13">
        <v>228.89965000000001</v>
      </c>
      <c r="M96" s="52"/>
      <c r="N96" s="13"/>
      <c r="O96" s="13"/>
      <c r="P96" s="18"/>
      <c r="Q96" s="24" t="s">
        <v>154</v>
      </c>
      <c r="S96" t="s">
        <v>46</v>
      </c>
      <c r="T96" t="s">
        <v>51</v>
      </c>
      <c r="W96">
        <v>17.3</v>
      </c>
      <c r="X96" s="5">
        <v>43000</v>
      </c>
      <c r="AA96" s="2" t="s">
        <v>35</v>
      </c>
      <c r="AB96" s="23" t="s">
        <v>258</v>
      </c>
      <c r="AC96" t="s">
        <v>155</v>
      </c>
    </row>
    <row r="97" spans="2:29" ht="16" x14ac:dyDescent="0.2">
      <c r="B97" s="3" t="s">
        <v>259</v>
      </c>
      <c r="D97">
        <v>132</v>
      </c>
      <c r="F97" s="28">
        <v>4417</v>
      </c>
      <c r="G97"/>
      <c r="H97"/>
      <c r="J97" s="13"/>
      <c r="K97" s="13">
        <v>132</v>
      </c>
      <c r="L97" s="13"/>
      <c r="M97" s="52">
        <v>4417</v>
      </c>
      <c r="N97" s="13"/>
      <c r="O97" s="13"/>
      <c r="P97" s="18"/>
      <c r="Q97" s="24" t="s">
        <v>154</v>
      </c>
      <c r="S97" t="s">
        <v>46</v>
      </c>
      <c r="T97" t="s">
        <v>51</v>
      </c>
      <c r="V97" s="2" t="s">
        <v>260</v>
      </c>
      <c r="W97">
        <v>21.2</v>
      </c>
      <c r="X97" s="5">
        <v>3500</v>
      </c>
      <c r="Y97">
        <v>2.0079999999999998E-3</v>
      </c>
      <c r="Z97">
        <v>36.5</v>
      </c>
      <c r="AB97" s="23" t="s">
        <v>261</v>
      </c>
      <c r="AC97" t="s">
        <v>262</v>
      </c>
    </row>
    <row r="98" spans="2:29" ht="16" x14ac:dyDescent="0.2">
      <c r="B98" s="3" t="s">
        <v>263</v>
      </c>
      <c r="C98">
        <v>138.59800000000001</v>
      </c>
      <c r="E98">
        <v>272.02499999999998</v>
      </c>
      <c r="F98" s="28"/>
      <c r="G98"/>
      <c r="H98"/>
      <c r="J98" s="13">
        <v>138.59800000000001</v>
      </c>
      <c r="K98" s="13"/>
      <c r="L98" s="13">
        <v>272.02499999999998</v>
      </c>
      <c r="M98" s="52"/>
      <c r="N98" s="13"/>
      <c r="O98" s="13"/>
      <c r="P98" s="18"/>
      <c r="Q98" s="24" t="s">
        <v>154</v>
      </c>
      <c r="S98" t="s">
        <v>46</v>
      </c>
      <c r="T98" t="s">
        <v>51</v>
      </c>
      <c r="W98">
        <v>14</v>
      </c>
      <c r="X98">
        <v>235</v>
      </c>
      <c r="Y98">
        <v>4.7999999999999996E-3</v>
      </c>
      <c r="Z98">
        <v>37.6</v>
      </c>
      <c r="AC98" s="49" t="s">
        <v>264</v>
      </c>
    </row>
    <row r="99" spans="2:29" ht="16" x14ac:dyDescent="0.2">
      <c r="B99" s="3" t="s">
        <v>265</v>
      </c>
      <c r="C99">
        <v>83.043000000000006</v>
      </c>
      <c r="E99">
        <v>184.65899999999999</v>
      </c>
      <c r="F99" s="28"/>
      <c r="G99"/>
      <c r="H99"/>
      <c r="J99" s="13">
        <v>83.043000000000006</v>
      </c>
      <c r="K99" s="13"/>
      <c r="L99" s="13">
        <v>184.65899999999999</v>
      </c>
      <c r="M99" s="52"/>
      <c r="N99" s="13"/>
      <c r="O99" s="13"/>
      <c r="P99" s="18"/>
      <c r="Q99" s="24" t="s">
        <v>154</v>
      </c>
      <c r="S99" t="s">
        <v>46</v>
      </c>
      <c r="T99" t="s">
        <v>51</v>
      </c>
      <c r="W99">
        <v>27.5</v>
      </c>
      <c r="X99" s="5">
        <v>177500</v>
      </c>
      <c r="AA99" s="2" t="s">
        <v>35</v>
      </c>
      <c r="AB99" s="23" t="s">
        <v>258</v>
      </c>
      <c r="AC99" t="s">
        <v>155</v>
      </c>
    </row>
    <row r="100" spans="2:29" ht="16" x14ac:dyDescent="0.2">
      <c r="B100" s="3" t="s">
        <v>266</v>
      </c>
      <c r="F100" s="28"/>
      <c r="G100"/>
      <c r="H100">
        <v>60.66</v>
      </c>
      <c r="I100" s="2">
        <v>82.6</v>
      </c>
      <c r="J100" s="13"/>
      <c r="K100" s="13"/>
      <c r="L100" s="13"/>
      <c r="M100" s="52"/>
      <c r="N100" s="13"/>
      <c r="O100" s="13">
        <v>60.66</v>
      </c>
      <c r="P100" s="18">
        <v>82.6</v>
      </c>
      <c r="Q100" s="24" t="s">
        <v>154</v>
      </c>
      <c r="S100" t="s">
        <v>46</v>
      </c>
      <c r="T100" t="s">
        <v>51</v>
      </c>
      <c r="W100">
        <v>21.8</v>
      </c>
      <c r="X100" s="5">
        <v>101250</v>
      </c>
      <c r="Y100">
        <v>1.408E-3</v>
      </c>
      <c r="Z100">
        <v>37.200000000000003</v>
      </c>
      <c r="AB100" s="23" t="s">
        <v>267</v>
      </c>
      <c r="AC100" s="49" t="s">
        <v>268</v>
      </c>
    </row>
    <row r="101" spans="2:29" ht="16" x14ac:dyDescent="0.2">
      <c r="B101" s="3" t="s">
        <v>269</v>
      </c>
      <c r="F101" s="28"/>
      <c r="G101"/>
      <c r="H101">
        <v>41.3</v>
      </c>
      <c r="I101" s="2">
        <v>137.80000000000001</v>
      </c>
      <c r="J101" s="13"/>
      <c r="K101" s="13"/>
      <c r="L101" s="13"/>
      <c r="M101" s="52"/>
      <c r="N101" s="13"/>
      <c r="O101" s="13">
        <v>41.3</v>
      </c>
      <c r="P101" s="18">
        <v>137.80000000000001</v>
      </c>
      <c r="Q101" s="24" t="s">
        <v>154</v>
      </c>
      <c r="S101" t="s">
        <v>46</v>
      </c>
      <c r="T101" t="s">
        <v>51</v>
      </c>
      <c r="W101">
        <v>21.8</v>
      </c>
      <c r="X101" s="5">
        <v>101250</v>
      </c>
      <c r="Y101">
        <v>1.408E-3</v>
      </c>
      <c r="AA101" s="2" t="s">
        <v>35</v>
      </c>
      <c r="AB101" s="23" t="s">
        <v>270</v>
      </c>
      <c r="AC101" s="8" t="s">
        <v>268</v>
      </c>
    </row>
    <row r="102" spans="2:29" ht="16" x14ac:dyDescent="0.2">
      <c r="B102" s="3" t="s">
        <v>271</v>
      </c>
      <c r="C102">
        <v>19.042999999999999</v>
      </c>
      <c r="E102">
        <v>112.455</v>
      </c>
      <c r="F102" s="28"/>
      <c r="G102"/>
      <c r="H102"/>
      <c r="J102" s="13">
        <v>19.042999999999999</v>
      </c>
      <c r="K102" s="13"/>
      <c r="L102" s="13">
        <v>112.455</v>
      </c>
      <c r="M102" s="52"/>
      <c r="N102" s="13"/>
      <c r="O102" s="13"/>
      <c r="P102" s="18"/>
      <c r="Q102" s="24" t="s">
        <v>154</v>
      </c>
      <c r="S102" t="s">
        <v>46</v>
      </c>
      <c r="T102" t="s">
        <v>51</v>
      </c>
      <c r="W102">
        <v>40</v>
      </c>
      <c r="X102" s="5">
        <v>277500</v>
      </c>
      <c r="Z102">
        <v>37.299999999999997</v>
      </c>
      <c r="AB102" s="23" t="s">
        <v>272</v>
      </c>
      <c r="AC102" s="49" t="s">
        <v>273</v>
      </c>
    </row>
    <row r="103" spans="2:29" ht="19" customHeight="1" x14ac:dyDescent="0.2">
      <c r="B103" s="58" t="s">
        <v>274</v>
      </c>
      <c r="C103">
        <v>15.4489</v>
      </c>
      <c r="E103">
        <v>24.7638</v>
      </c>
      <c r="J103" s="13">
        <v>15.4489</v>
      </c>
      <c r="K103" s="13"/>
      <c r="L103" s="13">
        <v>24.7638</v>
      </c>
      <c r="M103" s="18"/>
      <c r="N103" s="18"/>
      <c r="O103" s="18"/>
      <c r="P103" s="18"/>
      <c r="Q103" s="2" t="s">
        <v>31</v>
      </c>
      <c r="R103" t="s">
        <v>275</v>
      </c>
      <c r="S103" t="s">
        <v>276</v>
      </c>
      <c r="T103" t="s">
        <v>51</v>
      </c>
      <c r="V103" s="2" t="s">
        <v>34</v>
      </c>
      <c r="W103" s="2">
        <v>28</v>
      </c>
      <c r="X103" s="5">
        <v>175000</v>
      </c>
      <c r="Y103">
        <v>9.6500000000000004E-4</v>
      </c>
      <c r="Z103">
        <v>37.9</v>
      </c>
      <c r="AC103" t="s">
        <v>277</v>
      </c>
    </row>
    <row r="104" spans="2:29" ht="19" customHeight="1" x14ac:dyDescent="0.2">
      <c r="B104" s="58" t="s">
        <v>278</v>
      </c>
      <c r="C104">
        <v>503.9</v>
      </c>
      <c r="E104">
        <v>2060.92</v>
      </c>
      <c r="J104" s="13"/>
      <c r="K104" s="13"/>
      <c r="L104" s="13"/>
      <c r="M104" s="18"/>
      <c r="N104" s="18"/>
      <c r="O104" s="18"/>
      <c r="P104" s="18"/>
      <c r="Q104" s="2" t="s">
        <v>279</v>
      </c>
      <c r="R104" t="s">
        <v>280</v>
      </c>
      <c r="S104" t="s">
        <v>46</v>
      </c>
      <c r="T104" t="s">
        <v>281</v>
      </c>
      <c r="U104" s="5">
        <v>410000</v>
      </c>
      <c r="V104" s="2" t="s">
        <v>282</v>
      </c>
      <c r="W104" s="2">
        <v>28.4</v>
      </c>
      <c r="X104" s="5">
        <v>434000</v>
      </c>
      <c r="Y104">
        <v>5.5199999999999997E-4</v>
      </c>
      <c r="Z104">
        <v>37.5</v>
      </c>
      <c r="AC104" t="s">
        <v>283</v>
      </c>
    </row>
    <row r="105" spans="2:29" ht="19" customHeight="1" x14ac:dyDescent="0.2">
      <c r="B105" s="58" t="s">
        <v>284</v>
      </c>
      <c r="J105" s="13"/>
      <c r="K105" s="13"/>
      <c r="L105" s="13"/>
      <c r="M105" s="18"/>
      <c r="N105" s="18"/>
      <c r="O105" s="18"/>
      <c r="P105" s="18"/>
      <c r="U105" s="5"/>
      <c r="X105" s="5"/>
    </row>
    <row r="106" spans="2:29" ht="15.75" customHeight="1" x14ac:dyDescent="0.2">
      <c r="B106" s="3" t="s">
        <v>285</v>
      </c>
      <c r="J106" s="13"/>
      <c r="K106" s="13"/>
      <c r="L106" s="13"/>
      <c r="M106" s="18"/>
      <c r="N106" s="18"/>
      <c r="O106" s="18"/>
      <c r="P106" s="18"/>
    </row>
    <row r="107" spans="2:29" ht="15.75" customHeight="1" x14ac:dyDescent="0.2">
      <c r="B107" s="3" t="s">
        <v>286</v>
      </c>
      <c r="J107" s="13"/>
      <c r="K107" s="13"/>
      <c r="L107" s="13"/>
      <c r="M107" s="18"/>
      <c r="N107" s="18"/>
      <c r="O107" s="18"/>
      <c r="P107" s="18"/>
    </row>
    <row r="108" spans="2:29" ht="15.75" customHeight="1" x14ac:dyDescent="0.2">
      <c r="B108" s="3" t="s">
        <v>287</v>
      </c>
      <c r="J108" s="13"/>
      <c r="K108" s="13"/>
      <c r="L108" s="13"/>
      <c r="M108" s="18"/>
      <c r="N108" s="18"/>
      <c r="O108" s="18"/>
      <c r="P108" s="18"/>
    </row>
    <row r="109" spans="2:29" ht="15.75" customHeight="1" x14ac:dyDescent="0.2">
      <c r="B109" s="3" t="s">
        <v>288</v>
      </c>
      <c r="J109" s="13"/>
      <c r="K109" s="13"/>
      <c r="L109" s="13"/>
      <c r="M109" s="18"/>
      <c r="N109" s="18"/>
      <c r="O109" s="18"/>
      <c r="P109" s="18"/>
    </row>
    <row r="110" spans="2:29" ht="15.75" customHeight="1" x14ac:dyDescent="0.2">
      <c r="B110" s="3" t="s">
        <v>289</v>
      </c>
      <c r="J110" s="13"/>
      <c r="K110" s="13"/>
      <c r="L110" s="13"/>
      <c r="M110" s="18"/>
      <c r="N110" s="18"/>
      <c r="O110" s="18"/>
      <c r="P110" s="18"/>
    </row>
    <row r="111" spans="2:29" ht="15.75" customHeight="1" x14ac:dyDescent="0.2">
      <c r="B111" s="3" t="s">
        <v>290</v>
      </c>
      <c r="J111" s="13"/>
      <c r="K111" s="13"/>
      <c r="L111" s="13"/>
      <c r="M111" s="18"/>
      <c r="N111" s="18"/>
      <c r="O111" s="18"/>
      <c r="P111" s="18"/>
    </row>
    <row r="112" spans="2:29" ht="15.75" customHeight="1" x14ac:dyDescent="0.2">
      <c r="B112" s="3" t="s">
        <v>291</v>
      </c>
      <c r="J112" s="13"/>
      <c r="K112" s="13"/>
      <c r="L112" s="13"/>
      <c r="M112" s="18"/>
      <c r="N112" s="18"/>
      <c r="O112" s="18"/>
      <c r="P112" s="18"/>
    </row>
    <row r="113" spans="2:16" ht="15.75" customHeight="1" x14ac:dyDescent="0.2">
      <c r="B113" s="3" t="s">
        <v>292</v>
      </c>
      <c r="J113" s="13"/>
      <c r="K113" s="13"/>
      <c r="L113" s="13"/>
      <c r="M113" s="18"/>
      <c r="N113" s="18"/>
      <c r="O113" s="18"/>
      <c r="P113" s="18"/>
    </row>
    <row r="114" spans="2:16" ht="15.75" customHeight="1" x14ac:dyDescent="0.2">
      <c r="B114" s="3" t="s">
        <v>293</v>
      </c>
      <c r="J114" s="13"/>
      <c r="K114" s="13"/>
      <c r="L114" s="13"/>
      <c r="M114" s="18"/>
      <c r="N114" s="18"/>
      <c r="O114" s="18"/>
      <c r="P114" s="18"/>
    </row>
    <row r="115" spans="2:16" ht="15.75" customHeight="1" x14ac:dyDescent="0.2">
      <c r="J115" s="13"/>
      <c r="K115" s="13"/>
      <c r="L115" s="13"/>
      <c r="M115" s="18"/>
      <c r="N115" s="18"/>
      <c r="O115" s="18"/>
      <c r="P115" s="18"/>
    </row>
    <row r="116" spans="2:16" ht="15.75" customHeight="1" x14ac:dyDescent="0.2">
      <c r="J116" s="13"/>
      <c r="K116" s="13"/>
      <c r="L116" s="13"/>
      <c r="M116" s="18"/>
      <c r="N116" s="18"/>
      <c r="O116" s="18"/>
      <c r="P116" s="18"/>
    </row>
    <row r="117" spans="2:16" ht="15.75" customHeight="1" x14ac:dyDescent="0.2">
      <c r="J117" s="13"/>
      <c r="K117" s="13"/>
      <c r="L117" s="13"/>
      <c r="M117" s="18"/>
      <c r="N117" s="18"/>
      <c r="O117" s="18"/>
      <c r="P117" s="18"/>
    </row>
    <row r="118" spans="2:16" ht="15.75" customHeight="1" x14ac:dyDescent="0.2">
      <c r="J118" s="13"/>
      <c r="K118" s="13"/>
      <c r="L118" s="13"/>
      <c r="M118" s="18"/>
      <c r="N118" s="18"/>
      <c r="O118" s="18"/>
      <c r="P118" s="18"/>
    </row>
    <row r="119" spans="2:16" ht="15.75" customHeight="1" x14ac:dyDescent="0.2">
      <c r="J119" s="13"/>
      <c r="K119" s="13"/>
      <c r="L119" s="13"/>
      <c r="M119" s="18"/>
      <c r="N119" s="18"/>
      <c r="O119" s="18"/>
      <c r="P119" s="18"/>
    </row>
    <row r="120" spans="2:16" ht="15.75" customHeight="1" x14ac:dyDescent="0.2">
      <c r="J120" s="13"/>
      <c r="K120" s="13"/>
      <c r="L120" s="13"/>
      <c r="M120" s="18"/>
      <c r="N120" s="18"/>
      <c r="O120" s="18"/>
      <c r="P120" s="18"/>
    </row>
    <row r="121" spans="2:16" ht="15.75" customHeight="1" x14ac:dyDescent="0.2">
      <c r="J121" s="13"/>
      <c r="K121" s="13"/>
      <c r="L121" s="13"/>
      <c r="M121" s="18"/>
      <c r="N121" s="18"/>
      <c r="O121" s="18"/>
      <c r="P121" s="18"/>
    </row>
    <row r="122" spans="2:16" ht="15.75" customHeight="1" x14ac:dyDescent="0.2">
      <c r="J122" s="13"/>
      <c r="K122" s="13"/>
      <c r="L122" s="13"/>
      <c r="M122" s="18"/>
      <c r="N122" s="18"/>
      <c r="O122" s="18"/>
      <c r="P122" s="18"/>
    </row>
    <row r="123" spans="2:16" ht="15.75" customHeight="1" x14ac:dyDescent="0.2">
      <c r="J123" s="13"/>
      <c r="K123" s="13"/>
      <c r="L123" s="13"/>
      <c r="M123" s="18"/>
      <c r="N123" s="18"/>
      <c r="O123" s="18"/>
      <c r="P123" s="18"/>
    </row>
    <row r="124" spans="2:16" ht="15.75" customHeight="1" x14ac:dyDescent="0.2">
      <c r="J124" s="13"/>
      <c r="K124" s="13"/>
      <c r="L124" s="13"/>
      <c r="M124" s="18"/>
      <c r="N124" s="18"/>
      <c r="O124" s="18"/>
      <c r="P124" s="18"/>
    </row>
    <row r="125" spans="2:16" ht="15.75" customHeight="1" x14ac:dyDescent="0.2">
      <c r="J125" s="13"/>
      <c r="K125" s="13"/>
      <c r="L125" s="13"/>
      <c r="M125" s="18"/>
      <c r="N125" s="18"/>
      <c r="O125" s="18"/>
      <c r="P125" s="18"/>
    </row>
    <row r="126" spans="2:16" ht="15.75" customHeight="1" x14ac:dyDescent="0.2">
      <c r="J126" s="13"/>
      <c r="K126" s="13"/>
      <c r="L126" s="13"/>
      <c r="M126" s="18"/>
      <c r="N126" s="18"/>
      <c r="O126" s="18"/>
      <c r="P126" s="18"/>
    </row>
    <row r="127" spans="2:16" ht="15.75" customHeight="1" x14ac:dyDescent="0.2">
      <c r="J127" s="13"/>
      <c r="K127" s="13"/>
      <c r="L127" s="13"/>
      <c r="M127" s="18"/>
      <c r="N127" s="18"/>
      <c r="O127" s="18"/>
      <c r="P127" s="18"/>
    </row>
    <row r="128" spans="2:16" ht="15.75" customHeight="1" x14ac:dyDescent="0.2">
      <c r="J128" s="13"/>
      <c r="K128" s="13"/>
      <c r="L128" s="13"/>
      <c r="M128" s="18"/>
      <c r="N128" s="18"/>
      <c r="O128" s="18"/>
      <c r="P128" s="18"/>
    </row>
    <row r="129" spans="10:16" ht="15.75" customHeight="1" x14ac:dyDescent="0.2">
      <c r="J129" s="13"/>
      <c r="K129" s="13"/>
      <c r="L129" s="13"/>
      <c r="M129" s="18"/>
      <c r="N129" s="18"/>
      <c r="O129" s="18"/>
      <c r="P129" s="18"/>
    </row>
    <row r="130" spans="10:16" ht="15.75" customHeight="1" x14ac:dyDescent="0.2">
      <c r="J130" s="13"/>
      <c r="K130" s="13"/>
      <c r="L130" s="13"/>
      <c r="M130" s="18"/>
      <c r="N130" s="18"/>
      <c r="O130" s="18"/>
      <c r="P130" s="18"/>
    </row>
    <row r="131" spans="10:16" ht="15.75" customHeight="1" x14ac:dyDescent="0.2">
      <c r="J131" s="13"/>
      <c r="K131" s="13"/>
      <c r="L131" s="13"/>
      <c r="M131" s="18"/>
      <c r="N131" s="18"/>
      <c r="O131" s="18"/>
      <c r="P131" s="18"/>
    </row>
    <row r="132" spans="10:16" ht="15.75" customHeight="1" x14ac:dyDescent="0.2">
      <c r="J132" s="13"/>
      <c r="K132" s="13"/>
      <c r="L132" s="13"/>
      <c r="M132" s="18"/>
      <c r="N132" s="18"/>
      <c r="O132" s="18"/>
      <c r="P132" s="18"/>
    </row>
    <row r="133" spans="10:16" ht="15.75" customHeight="1" x14ac:dyDescent="0.2">
      <c r="J133" s="13"/>
      <c r="K133" s="13"/>
      <c r="L133" s="13"/>
      <c r="M133" s="18"/>
      <c r="N133" s="18"/>
      <c r="O133" s="18"/>
      <c r="P133" s="18"/>
    </row>
    <row r="134" spans="10:16" ht="15.75" customHeight="1" x14ac:dyDescent="0.2">
      <c r="J134" s="13"/>
      <c r="K134" s="13"/>
      <c r="L134" s="13"/>
      <c r="M134" s="18"/>
      <c r="N134" s="18"/>
      <c r="O134" s="18"/>
      <c r="P134" s="18"/>
    </row>
    <row r="135" spans="10:16" ht="15.75" customHeight="1" x14ac:dyDescent="0.2">
      <c r="J135" s="13"/>
      <c r="K135" s="13"/>
      <c r="L135" s="13"/>
      <c r="M135" s="18"/>
      <c r="N135" s="18"/>
      <c r="O135" s="18"/>
      <c r="P135" s="18"/>
    </row>
    <row r="136" spans="10:16" ht="15.75" customHeight="1" x14ac:dyDescent="0.2">
      <c r="J136" s="13"/>
      <c r="K136" s="13"/>
      <c r="L136" s="13"/>
      <c r="M136" s="18"/>
      <c r="N136" s="18"/>
      <c r="O136" s="18"/>
      <c r="P136" s="18"/>
    </row>
    <row r="137" spans="10:16" ht="15.75" customHeight="1" x14ac:dyDescent="0.2">
      <c r="J137" s="13"/>
      <c r="K137" s="13"/>
      <c r="L137" s="13"/>
      <c r="M137" s="18"/>
      <c r="N137" s="18"/>
      <c r="O137" s="18"/>
      <c r="P137" s="18"/>
    </row>
    <row r="138" spans="10:16" ht="15.75" customHeight="1" x14ac:dyDescent="0.2">
      <c r="J138" s="13"/>
      <c r="K138" s="13"/>
      <c r="L138" s="13"/>
      <c r="M138" s="18"/>
      <c r="N138" s="18"/>
      <c r="O138" s="18"/>
      <c r="P138" s="18"/>
    </row>
    <row r="139" spans="10:16" ht="15.75" customHeight="1" x14ac:dyDescent="0.2">
      <c r="J139" s="13"/>
      <c r="K139" s="13"/>
      <c r="L139" s="13"/>
      <c r="M139" s="18"/>
      <c r="N139" s="18"/>
      <c r="O139" s="18"/>
      <c r="P139" s="18"/>
    </row>
    <row r="140" spans="10:16" ht="15.75" customHeight="1" x14ac:dyDescent="0.2">
      <c r="J140" s="13"/>
      <c r="K140" s="13"/>
      <c r="L140" s="13"/>
      <c r="M140" s="18"/>
      <c r="N140" s="18"/>
      <c r="O140" s="18"/>
      <c r="P140" s="18"/>
    </row>
    <row r="141" spans="10:16" ht="15.75" customHeight="1" x14ac:dyDescent="0.2">
      <c r="J141" s="13"/>
      <c r="K141" s="13"/>
      <c r="L141" s="13"/>
      <c r="M141" s="18"/>
      <c r="N141" s="18"/>
      <c r="O141" s="18"/>
      <c r="P141" s="18"/>
    </row>
    <row r="142" spans="10:16" ht="15.75" customHeight="1" x14ac:dyDescent="0.2">
      <c r="J142" s="13"/>
      <c r="K142" s="13"/>
      <c r="L142" s="13"/>
      <c r="M142" s="18"/>
      <c r="N142" s="18"/>
      <c r="O142" s="18"/>
      <c r="P142" s="18"/>
    </row>
    <row r="143" spans="10:16" ht="15.75" customHeight="1" x14ac:dyDescent="0.2">
      <c r="J143" s="13"/>
      <c r="K143" s="13"/>
      <c r="L143" s="13"/>
      <c r="M143" s="18"/>
      <c r="N143" s="18"/>
      <c r="O143" s="18"/>
      <c r="P143" s="18"/>
    </row>
    <row r="144" spans="10:16" ht="15.75" customHeight="1" x14ac:dyDescent="0.2">
      <c r="J144" s="13"/>
      <c r="K144" s="13"/>
      <c r="L144" s="13"/>
      <c r="M144" s="18"/>
      <c r="N144" s="18"/>
      <c r="O144" s="18"/>
      <c r="P144" s="18"/>
    </row>
    <row r="145" spans="10:16" ht="15.75" customHeight="1" x14ac:dyDescent="0.2">
      <c r="J145" s="13"/>
      <c r="K145" s="13"/>
      <c r="L145" s="13"/>
      <c r="M145" s="18"/>
      <c r="N145" s="18"/>
      <c r="O145" s="18"/>
      <c r="P145" s="18"/>
    </row>
    <row r="146" spans="10:16" ht="15.75" customHeight="1" x14ac:dyDescent="0.2">
      <c r="J146" s="13"/>
      <c r="K146" s="13"/>
      <c r="L146" s="13"/>
      <c r="M146" s="18"/>
      <c r="N146" s="18"/>
      <c r="O146" s="18"/>
      <c r="P146" s="18"/>
    </row>
    <row r="147" spans="10:16" ht="15.75" customHeight="1" x14ac:dyDescent="0.2">
      <c r="J147" s="13"/>
      <c r="K147" s="13"/>
      <c r="L147" s="13"/>
      <c r="M147" s="18"/>
      <c r="N147" s="18"/>
      <c r="O147" s="18"/>
      <c r="P147" s="18"/>
    </row>
    <row r="148" spans="10:16" ht="15.75" customHeight="1" x14ac:dyDescent="0.2">
      <c r="J148" s="13"/>
      <c r="K148" s="13"/>
      <c r="L148" s="13"/>
      <c r="M148" s="18"/>
      <c r="N148" s="18"/>
      <c r="O148" s="18"/>
      <c r="P148" s="18"/>
    </row>
    <row r="149" spans="10:16" ht="15.75" customHeight="1" x14ac:dyDescent="0.2">
      <c r="J149" s="13"/>
      <c r="K149" s="13"/>
      <c r="L149" s="13"/>
      <c r="M149" s="18"/>
      <c r="N149" s="18"/>
      <c r="O149" s="18"/>
      <c r="P149" s="18"/>
    </row>
    <row r="150" spans="10:16" ht="15.75" customHeight="1" x14ac:dyDescent="0.2">
      <c r="J150" s="13"/>
      <c r="K150" s="13"/>
      <c r="L150" s="13"/>
      <c r="M150" s="18"/>
      <c r="N150" s="18"/>
      <c r="O150" s="18"/>
      <c r="P150" s="18"/>
    </row>
    <row r="151" spans="10:16" ht="15.75" customHeight="1" x14ac:dyDescent="0.2">
      <c r="J151" s="13"/>
      <c r="K151" s="13"/>
      <c r="L151" s="13"/>
      <c r="M151" s="18"/>
      <c r="N151" s="18"/>
      <c r="O151" s="18"/>
      <c r="P151" s="18"/>
    </row>
    <row r="152" spans="10:16" ht="15.75" customHeight="1" x14ac:dyDescent="0.2">
      <c r="J152" s="13"/>
      <c r="K152" s="13"/>
      <c r="L152" s="13"/>
      <c r="M152" s="18"/>
      <c r="N152" s="18"/>
      <c r="O152" s="18"/>
      <c r="P152" s="18"/>
    </row>
    <row r="153" spans="10:16" ht="15.75" customHeight="1" x14ac:dyDescent="0.2">
      <c r="J153" s="13"/>
      <c r="K153" s="13"/>
      <c r="L153" s="13"/>
      <c r="M153" s="18"/>
      <c r="N153" s="18"/>
      <c r="O153" s="18"/>
      <c r="P153" s="18"/>
    </row>
    <row r="154" spans="10:16" ht="15.75" customHeight="1" x14ac:dyDescent="0.2">
      <c r="J154" s="13"/>
      <c r="K154" s="13"/>
      <c r="L154" s="13"/>
      <c r="M154" s="18"/>
      <c r="N154" s="18"/>
      <c r="O154" s="18"/>
      <c r="P154" s="18"/>
    </row>
    <row r="155" spans="10:16" ht="15.75" customHeight="1" x14ac:dyDescent="0.2">
      <c r="J155" s="13"/>
      <c r="K155" s="13"/>
      <c r="L155" s="13"/>
      <c r="M155" s="18"/>
      <c r="N155" s="18"/>
      <c r="O155" s="18"/>
      <c r="P155" s="18"/>
    </row>
    <row r="156" spans="10:16" ht="15.75" customHeight="1" x14ac:dyDescent="0.2">
      <c r="J156" s="13"/>
      <c r="K156" s="13"/>
      <c r="L156" s="13"/>
      <c r="M156" s="18"/>
      <c r="N156" s="18"/>
      <c r="O156" s="18"/>
      <c r="P156" s="18"/>
    </row>
    <row r="157" spans="10:16" ht="15.75" customHeight="1" x14ac:dyDescent="0.2">
      <c r="J157" s="13"/>
      <c r="K157" s="13"/>
      <c r="L157" s="13"/>
      <c r="M157" s="18"/>
      <c r="N157" s="18"/>
      <c r="O157" s="18"/>
      <c r="P157" s="18"/>
    </row>
    <row r="158" spans="10:16" ht="15.75" customHeight="1" x14ac:dyDescent="0.2">
      <c r="J158" s="13"/>
      <c r="K158" s="13"/>
      <c r="L158" s="13"/>
      <c r="M158" s="18"/>
      <c r="N158" s="18"/>
      <c r="O158" s="18"/>
      <c r="P158" s="18"/>
    </row>
    <row r="159" spans="10:16" ht="15.75" customHeight="1" x14ac:dyDescent="0.2">
      <c r="J159" s="13"/>
      <c r="K159" s="13"/>
      <c r="L159" s="13"/>
      <c r="M159" s="18"/>
      <c r="N159" s="18"/>
      <c r="O159" s="18"/>
      <c r="P159" s="18"/>
    </row>
    <row r="160" spans="10:16" ht="15.75" customHeight="1" x14ac:dyDescent="0.2">
      <c r="J160" s="13"/>
      <c r="K160" s="13"/>
      <c r="L160" s="13"/>
      <c r="M160" s="18"/>
      <c r="N160" s="18"/>
      <c r="O160" s="18"/>
      <c r="P160" s="18"/>
    </row>
    <row r="161" spans="7:23" ht="15.75" customHeight="1" x14ac:dyDescent="0.2">
      <c r="J161" s="13"/>
      <c r="K161" s="13"/>
      <c r="L161" s="13"/>
      <c r="M161" s="18"/>
      <c r="N161" s="18"/>
      <c r="O161" s="18"/>
      <c r="P161" s="18"/>
    </row>
    <row r="162" spans="7:23" ht="15.75" customHeight="1" x14ac:dyDescent="0.2">
      <c r="J162" s="13"/>
      <c r="K162" s="13"/>
      <c r="L162" s="13"/>
      <c r="M162" s="18"/>
      <c r="N162" s="18"/>
      <c r="O162" s="18"/>
      <c r="P162" s="18"/>
    </row>
    <row r="163" spans="7:23" ht="15.75" customHeight="1" x14ac:dyDescent="0.2">
      <c r="J163" s="13"/>
      <c r="K163" s="13"/>
      <c r="L163" s="13"/>
      <c r="M163" s="18"/>
      <c r="N163" s="18"/>
      <c r="O163" s="18"/>
      <c r="P163" s="18"/>
    </row>
    <row r="164" spans="7:23" ht="15.75" customHeight="1" x14ac:dyDescent="0.2">
      <c r="J164" s="13"/>
      <c r="K164" s="13"/>
      <c r="L164" s="13"/>
      <c r="M164" s="18"/>
      <c r="N164" s="18"/>
      <c r="O164" s="18"/>
      <c r="P164" s="18"/>
    </row>
    <row r="165" spans="7:23" ht="16" x14ac:dyDescent="0.2">
      <c r="G165"/>
      <c r="H165"/>
      <c r="J165" s="13"/>
      <c r="K165" s="13"/>
      <c r="L165" s="13"/>
      <c r="M165" s="18"/>
      <c r="N165" s="13"/>
      <c r="O165" s="13"/>
      <c r="P165" s="18"/>
      <c r="Q165"/>
      <c r="W165"/>
    </row>
    <row r="166" spans="7:23" ht="16" x14ac:dyDescent="0.2">
      <c r="G166"/>
      <c r="H166"/>
      <c r="J166" s="13"/>
      <c r="K166" s="13"/>
      <c r="L166" s="13"/>
      <c r="M166" s="18"/>
      <c r="N166" s="13"/>
      <c r="O166" s="13"/>
      <c r="P166" s="18"/>
      <c r="Q166"/>
      <c r="W166"/>
    </row>
    <row r="167" spans="7:23" ht="16" x14ac:dyDescent="0.2">
      <c r="G167"/>
      <c r="H167"/>
      <c r="J167" s="13"/>
      <c r="K167" s="13"/>
      <c r="L167" s="13"/>
      <c r="M167" s="18"/>
      <c r="N167" s="13"/>
      <c r="O167" s="13"/>
      <c r="P167" s="18"/>
      <c r="Q167"/>
      <c r="W167"/>
    </row>
    <row r="168" spans="7:23" ht="16" x14ac:dyDescent="0.2">
      <c r="G168"/>
      <c r="H168"/>
      <c r="J168" s="13"/>
      <c r="K168" s="13"/>
      <c r="L168" s="13"/>
      <c r="M168" s="18"/>
      <c r="N168" s="13"/>
      <c r="O168" s="13"/>
      <c r="P168" s="18"/>
      <c r="Q168"/>
      <c r="W168"/>
    </row>
    <row r="169" spans="7:23" ht="16" x14ac:dyDescent="0.2">
      <c r="G169"/>
      <c r="H169"/>
      <c r="J169" s="13"/>
      <c r="K169" s="13"/>
      <c r="L169" s="13"/>
      <c r="M169" s="18"/>
      <c r="N169" s="13"/>
      <c r="O169" s="13"/>
      <c r="P169" s="18"/>
      <c r="Q169"/>
      <c r="W169"/>
    </row>
    <row r="170" spans="7:23" ht="16" x14ac:dyDescent="0.2">
      <c r="G170"/>
      <c r="H170"/>
      <c r="J170" s="13"/>
      <c r="K170" s="13"/>
      <c r="L170" s="13"/>
      <c r="M170" s="18"/>
      <c r="N170" s="13"/>
      <c r="O170" s="13"/>
      <c r="P170" s="18"/>
      <c r="Q170"/>
      <c r="W170"/>
    </row>
    <row r="171" spans="7:23" ht="16" x14ac:dyDescent="0.2">
      <c r="G171"/>
      <c r="H171"/>
      <c r="J171" s="13"/>
      <c r="K171" s="13"/>
      <c r="L171" s="13"/>
      <c r="M171" s="18"/>
      <c r="N171" s="13"/>
      <c r="O171" s="13"/>
      <c r="P171" s="18"/>
      <c r="Q171"/>
      <c r="W171"/>
    </row>
    <row r="172" spans="7:23" ht="16" x14ac:dyDescent="0.2">
      <c r="G172"/>
      <c r="H172"/>
      <c r="J172" s="13"/>
      <c r="K172" s="13"/>
      <c r="L172" s="13"/>
      <c r="M172" s="18"/>
      <c r="N172" s="13"/>
      <c r="O172" s="13"/>
      <c r="P172" s="18"/>
      <c r="Q172"/>
      <c r="W172"/>
    </row>
    <row r="173" spans="7:23" ht="16" x14ac:dyDescent="0.2">
      <c r="G173"/>
      <c r="H173"/>
      <c r="J173" s="13"/>
      <c r="K173" s="13"/>
      <c r="L173" s="13"/>
      <c r="M173" s="18"/>
      <c r="N173" s="13"/>
      <c r="O173" s="13"/>
      <c r="P173" s="18"/>
      <c r="Q173"/>
      <c r="W173"/>
    </row>
    <row r="174" spans="7:23" ht="16" x14ac:dyDescent="0.2">
      <c r="G174"/>
      <c r="H174"/>
      <c r="J174" s="13"/>
      <c r="K174" s="13"/>
      <c r="L174" s="13"/>
      <c r="M174" s="18"/>
      <c r="N174" s="13"/>
      <c r="O174" s="13"/>
      <c r="P174" s="18"/>
      <c r="Q174"/>
      <c r="W174"/>
    </row>
    <row r="175" spans="7:23" ht="16" x14ac:dyDescent="0.2">
      <c r="G175"/>
      <c r="H175"/>
      <c r="J175" s="13"/>
      <c r="K175" s="13"/>
      <c r="L175" s="13"/>
      <c r="M175" s="18"/>
      <c r="N175" s="13"/>
      <c r="O175" s="13"/>
      <c r="P175" s="18"/>
      <c r="Q175"/>
      <c r="W175"/>
    </row>
    <row r="176" spans="7:23" ht="16" x14ac:dyDescent="0.2">
      <c r="G176"/>
      <c r="H176"/>
      <c r="J176" s="13"/>
      <c r="K176" s="13"/>
      <c r="L176" s="13"/>
      <c r="M176" s="18"/>
      <c r="N176" s="13"/>
      <c r="O176" s="13"/>
      <c r="P176" s="18"/>
      <c r="Q176"/>
      <c r="W176"/>
    </row>
    <row r="177" spans="7:23" ht="16" x14ac:dyDescent="0.2">
      <c r="G177"/>
      <c r="H177"/>
      <c r="J177" s="13"/>
      <c r="K177" s="13"/>
      <c r="L177" s="13"/>
      <c r="M177" s="18"/>
      <c r="N177" s="13"/>
      <c r="O177" s="13"/>
      <c r="P177" s="18"/>
      <c r="Q177"/>
      <c r="W177"/>
    </row>
    <row r="178" spans="7:23" ht="16" x14ac:dyDescent="0.2">
      <c r="G178"/>
      <c r="H178"/>
      <c r="J178" s="13"/>
      <c r="K178" s="13"/>
      <c r="L178" s="13"/>
      <c r="M178" s="18"/>
      <c r="N178" s="13"/>
      <c r="O178" s="13"/>
      <c r="P178" s="18"/>
      <c r="Q178"/>
      <c r="W178"/>
    </row>
    <row r="179" spans="7:23" ht="16" x14ac:dyDescent="0.2">
      <c r="G179"/>
      <c r="H179"/>
      <c r="J179" s="13"/>
      <c r="K179" s="13"/>
      <c r="L179" s="13"/>
      <c r="M179" s="18"/>
      <c r="N179" s="13"/>
      <c r="O179" s="13"/>
      <c r="P179" s="18"/>
      <c r="Q179"/>
      <c r="W179"/>
    </row>
    <row r="180" spans="7:23" ht="16" x14ac:dyDescent="0.2">
      <c r="G180"/>
      <c r="H180"/>
      <c r="J180" s="13"/>
      <c r="K180" s="13"/>
      <c r="L180" s="13"/>
      <c r="M180" s="18"/>
      <c r="N180" s="13"/>
      <c r="O180" s="13"/>
      <c r="P180" s="18"/>
      <c r="Q180"/>
      <c r="W180"/>
    </row>
    <row r="181" spans="7:23" ht="16" x14ac:dyDescent="0.2">
      <c r="G181"/>
      <c r="H181"/>
      <c r="J181" s="13"/>
      <c r="K181" s="13"/>
      <c r="L181" s="13"/>
      <c r="M181" s="18"/>
      <c r="N181" s="13"/>
      <c r="O181" s="13"/>
      <c r="P181" s="18"/>
      <c r="Q181"/>
      <c r="W181"/>
    </row>
    <row r="182" spans="7:23" ht="16" x14ac:dyDescent="0.2">
      <c r="G182"/>
      <c r="H182"/>
      <c r="J182" s="13"/>
      <c r="K182" s="13"/>
      <c r="L182" s="13"/>
      <c r="M182" s="18"/>
      <c r="N182" s="13"/>
      <c r="O182" s="13"/>
      <c r="P182" s="18"/>
      <c r="Q182"/>
      <c r="W182"/>
    </row>
    <row r="183" spans="7:23" ht="16" x14ac:dyDescent="0.2">
      <c r="G183"/>
      <c r="H183"/>
      <c r="J183" s="13"/>
      <c r="K183" s="13"/>
      <c r="L183" s="13"/>
      <c r="M183" s="18"/>
      <c r="N183" s="13"/>
      <c r="O183" s="13"/>
      <c r="P183" s="18"/>
      <c r="Q183"/>
      <c r="W183"/>
    </row>
    <row r="184" spans="7:23" ht="16" x14ac:dyDescent="0.2">
      <c r="G184"/>
      <c r="H184"/>
      <c r="J184" s="13"/>
      <c r="K184" s="13"/>
      <c r="L184" s="13"/>
      <c r="M184" s="18"/>
      <c r="N184" s="13"/>
      <c r="O184" s="13"/>
      <c r="P184" s="18"/>
      <c r="Q184"/>
      <c r="W184"/>
    </row>
    <row r="185" spans="7:23" ht="16" x14ac:dyDescent="0.2">
      <c r="G185"/>
      <c r="H185"/>
      <c r="J185" s="13"/>
      <c r="K185" s="13"/>
      <c r="L185" s="13"/>
      <c r="M185" s="18"/>
      <c r="N185" s="13"/>
      <c r="O185" s="13"/>
      <c r="P185" s="18"/>
      <c r="Q185"/>
      <c r="W185"/>
    </row>
    <row r="186" spans="7:23" ht="16" x14ac:dyDescent="0.2">
      <c r="G186"/>
      <c r="H186"/>
      <c r="J186" s="13"/>
      <c r="K186" s="13"/>
      <c r="L186" s="13"/>
      <c r="M186" s="18"/>
      <c r="N186" s="13"/>
      <c r="O186" s="13"/>
      <c r="P186" s="18"/>
      <c r="Q186"/>
      <c r="W186"/>
    </row>
    <row r="187" spans="7:23" ht="16" x14ac:dyDescent="0.2">
      <c r="G187"/>
      <c r="H187"/>
      <c r="J187" s="13"/>
      <c r="K187" s="13"/>
      <c r="L187" s="13"/>
      <c r="M187" s="18"/>
      <c r="N187" s="13"/>
      <c r="O187" s="13"/>
      <c r="P187" s="18"/>
      <c r="Q187"/>
      <c r="W187"/>
    </row>
    <row r="188" spans="7:23" ht="16" x14ac:dyDescent="0.2">
      <c r="G188"/>
      <c r="H188"/>
      <c r="J188" s="13"/>
      <c r="K188" s="13"/>
      <c r="L188" s="13"/>
      <c r="M188" s="18"/>
      <c r="N188" s="13"/>
      <c r="O188" s="13"/>
      <c r="P188" s="18"/>
      <c r="Q188"/>
      <c r="W188"/>
    </row>
    <row r="189" spans="7:23" ht="16" x14ac:dyDescent="0.2">
      <c r="G189"/>
      <c r="H189"/>
      <c r="J189" s="13"/>
      <c r="K189" s="13"/>
      <c r="L189" s="13"/>
      <c r="M189" s="18"/>
      <c r="N189" s="13"/>
      <c r="O189" s="13"/>
      <c r="P189" s="18"/>
      <c r="Q189"/>
      <c r="W189"/>
    </row>
    <row r="190" spans="7:23" ht="16" x14ac:dyDescent="0.2">
      <c r="G190"/>
      <c r="H190"/>
      <c r="J190" s="13"/>
      <c r="K190" s="13"/>
      <c r="L190" s="13"/>
      <c r="M190" s="18"/>
      <c r="N190" s="13"/>
      <c r="O190" s="13"/>
      <c r="P190" s="18"/>
      <c r="Q190"/>
      <c r="W190"/>
    </row>
    <row r="191" spans="7:23" ht="16" x14ac:dyDescent="0.2">
      <c r="G191"/>
      <c r="H191"/>
      <c r="J191" s="13"/>
      <c r="K191" s="13"/>
      <c r="L191" s="13"/>
      <c r="M191" s="18"/>
      <c r="N191" s="13"/>
      <c r="O191" s="13"/>
      <c r="P191" s="18"/>
      <c r="Q191"/>
      <c r="W191"/>
    </row>
    <row r="192" spans="7:23" ht="16" x14ac:dyDescent="0.2">
      <c r="G192"/>
      <c r="H192"/>
      <c r="J192" s="13"/>
      <c r="K192" s="13"/>
      <c r="L192" s="13"/>
      <c r="M192" s="18"/>
      <c r="N192" s="13"/>
      <c r="O192" s="13"/>
      <c r="P192" s="18"/>
      <c r="Q192"/>
      <c r="W192"/>
    </row>
    <row r="193" spans="7:24" ht="16" x14ac:dyDescent="0.2">
      <c r="G193"/>
      <c r="H193"/>
      <c r="J193" s="13"/>
      <c r="K193" s="13"/>
      <c r="L193" s="13"/>
      <c r="M193" s="18"/>
      <c r="N193" s="13"/>
      <c r="O193" s="13"/>
      <c r="P193" s="18"/>
      <c r="Q193"/>
      <c r="W193"/>
    </row>
    <row r="194" spans="7:24" ht="16" x14ac:dyDescent="0.2">
      <c r="G194"/>
      <c r="H194"/>
      <c r="J194" s="13"/>
      <c r="K194" s="13"/>
      <c r="L194" s="13"/>
      <c r="M194" s="18"/>
      <c r="N194" s="13"/>
      <c r="O194" s="13"/>
      <c r="P194" s="18"/>
      <c r="Q194"/>
      <c r="W194"/>
    </row>
    <row r="195" spans="7:24" ht="16" x14ac:dyDescent="0.2">
      <c r="G195"/>
      <c r="H195"/>
      <c r="J195" s="13"/>
      <c r="K195" s="13"/>
      <c r="L195" s="13"/>
      <c r="M195" s="18"/>
      <c r="N195" s="13"/>
      <c r="O195" s="13"/>
      <c r="P195" s="18"/>
      <c r="Q195"/>
      <c r="W195"/>
    </row>
    <row r="196" spans="7:24" ht="16" x14ac:dyDescent="0.2">
      <c r="G196"/>
      <c r="H196"/>
      <c r="J196" s="13"/>
      <c r="K196" s="13"/>
      <c r="L196" s="13"/>
      <c r="M196" s="18"/>
      <c r="N196" s="13"/>
      <c r="O196" s="13"/>
      <c r="P196" s="18"/>
      <c r="Q196"/>
      <c r="W196"/>
    </row>
    <row r="197" spans="7:24" ht="16" x14ac:dyDescent="0.2">
      <c r="G197"/>
      <c r="H197"/>
      <c r="J197" s="13"/>
      <c r="K197" s="13"/>
      <c r="L197" s="13"/>
      <c r="M197" s="18"/>
      <c r="N197" s="13"/>
      <c r="O197" s="13"/>
      <c r="P197" s="18"/>
      <c r="Q197"/>
      <c r="W197"/>
    </row>
    <row r="198" spans="7:24" ht="16" x14ac:dyDescent="0.2">
      <c r="G198"/>
      <c r="H198"/>
      <c r="J198" s="13"/>
      <c r="K198" s="13"/>
      <c r="L198" s="13"/>
      <c r="M198" s="18"/>
      <c r="N198" s="13"/>
      <c r="O198" s="13"/>
      <c r="P198" s="18"/>
      <c r="Q198"/>
      <c r="W198"/>
    </row>
    <row r="199" spans="7:24" ht="16" x14ac:dyDescent="0.2">
      <c r="G199"/>
      <c r="H199"/>
      <c r="J199" s="13"/>
      <c r="K199" s="13"/>
      <c r="L199" s="13"/>
      <c r="M199" s="18"/>
      <c r="N199" s="13"/>
      <c r="O199" s="13"/>
      <c r="P199" s="18"/>
      <c r="Q199"/>
      <c r="W199"/>
    </row>
    <row r="200" spans="7:24" ht="16" x14ac:dyDescent="0.2">
      <c r="G200"/>
      <c r="H200"/>
      <c r="J200" s="13"/>
      <c r="K200" s="13"/>
      <c r="L200" s="13"/>
      <c r="M200" s="18"/>
      <c r="N200" s="13"/>
      <c r="O200" s="13"/>
      <c r="P200" s="18"/>
      <c r="Q200"/>
      <c r="W200"/>
    </row>
    <row r="201" spans="7:24" ht="16" x14ac:dyDescent="0.2">
      <c r="G201"/>
      <c r="H201"/>
      <c r="J201" s="13"/>
      <c r="K201" s="13"/>
      <c r="L201" s="13"/>
      <c r="M201" s="18"/>
      <c r="N201" s="13"/>
      <c r="O201" s="13"/>
      <c r="P201" s="18"/>
      <c r="Q201"/>
      <c r="W201"/>
    </row>
    <row r="202" spans="7:24" ht="16" x14ac:dyDescent="0.2">
      <c r="G202"/>
      <c r="H202"/>
      <c r="J202" s="13"/>
      <c r="K202" s="13"/>
      <c r="L202" s="13"/>
      <c r="M202" s="18"/>
      <c r="N202" s="13"/>
      <c r="O202" s="13"/>
      <c r="P202" s="18"/>
      <c r="Q202"/>
      <c r="W202"/>
    </row>
    <row r="203" spans="7:24" ht="16" x14ac:dyDescent="0.2">
      <c r="G203"/>
      <c r="H203"/>
      <c r="J203" s="13"/>
      <c r="K203" s="13"/>
      <c r="L203" s="13"/>
      <c r="M203" s="18"/>
      <c r="N203" s="13"/>
      <c r="O203" s="13"/>
      <c r="P203" s="18"/>
      <c r="Q203"/>
      <c r="W203"/>
    </row>
    <row r="204" spans="7:24" ht="16" x14ac:dyDescent="0.2">
      <c r="G204"/>
      <c r="H204"/>
      <c r="J204" s="13"/>
      <c r="K204" s="13"/>
      <c r="L204" s="13"/>
      <c r="M204" s="18"/>
      <c r="N204" s="13"/>
      <c r="O204" s="13"/>
      <c r="P204" s="18"/>
      <c r="Q204"/>
      <c r="W204"/>
    </row>
    <row r="205" spans="7:24" ht="16" x14ac:dyDescent="0.2">
      <c r="G205"/>
      <c r="H205"/>
      <c r="J205" s="13"/>
      <c r="K205" s="13"/>
      <c r="L205" s="13"/>
      <c r="M205" s="18"/>
      <c r="N205" s="13"/>
      <c r="O205" s="13"/>
      <c r="P205" s="18"/>
      <c r="Q205"/>
      <c r="W205"/>
    </row>
    <row r="206" spans="7:24" ht="16" x14ac:dyDescent="0.2">
      <c r="G206"/>
      <c r="H206"/>
      <c r="J206" s="13"/>
      <c r="K206" s="13"/>
      <c r="L206" s="13"/>
      <c r="M206" s="18"/>
      <c r="N206" s="13"/>
      <c r="O206" s="13"/>
      <c r="P206" s="18"/>
      <c r="Q206"/>
      <c r="W206"/>
    </row>
    <row r="207" spans="7:24" ht="16" x14ac:dyDescent="0.2">
      <c r="G207"/>
      <c r="H207"/>
      <c r="J207" s="13"/>
      <c r="K207" s="13"/>
      <c r="L207" s="13"/>
      <c r="M207" s="18"/>
      <c r="N207" s="13"/>
      <c r="O207" s="13"/>
      <c r="P207" s="18"/>
      <c r="Q207"/>
      <c r="W207"/>
      <c r="X207" s="2"/>
    </row>
    <row r="208" spans="7:24" ht="16" x14ac:dyDescent="0.2">
      <c r="G208"/>
      <c r="H208"/>
      <c r="J208" s="13"/>
      <c r="K208" s="13"/>
      <c r="L208" s="13"/>
      <c r="M208" s="18"/>
      <c r="N208" s="13"/>
      <c r="O208" s="13"/>
      <c r="P208" s="18"/>
      <c r="Q208"/>
      <c r="W208"/>
    </row>
    <row r="209" spans="7:23" ht="16" x14ac:dyDescent="0.2">
      <c r="G209"/>
      <c r="H209"/>
      <c r="J209" s="13"/>
      <c r="K209" s="13"/>
      <c r="L209" s="13"/>
      <c r="M209" s="18"/>
      <c r="N209" s="13"/>
      <c r="O209" s="13"/>
      <c r="P209" s="18"/>
      <c r="Q209"/>
      <c r="W209"/>
    </row>
    <row r="210" spans="7:23" ht="16" x14ac:dyDescent="0.2">
      <c r="G210"/>
      <c r="H210"/>
      <c r="J210" s="13"/>
      <c r="K210" s="13"/>
      <c r="L210" s="13"/>
      <c r="M210" s="18"/>
      <c r="N210" s="13"/>
      <c r="O210" s="13"/>
      <c r="P210" s="18"/>
      <c r="Q210"/>
      <c r="W210"/>
    </row>
    <row r="211" spans="7:23" ht="16" x14ac:dyDescent="0.2">
      <c r="G211"/>
      <c r="H211"/>
      <c r="J211" s="13"/>
      <c r="K211" s="13"/>
      <c r="L211" s="13"/>
      <c r="M211" s="18"/>
      <c r="N211" s="13"/>
      <c r="O211" s="13"/>
      <c r="P211" s="18"/>
      <c r="Q211"/>
      <c r="W211"/>
    </row>
    <row r="212" spans="7:23" ht="16" x14ac:dyDescent="0.2">
      <c r="G212"/>
      <c r="H212"/>
      <c r="J212" s="13"/>
      <c r="K212" s="13"/>
      <c r="L212" s="13"/>
      <c r="M212" s="18"/>
      <c r="N212" s="13"/>
      <c r="O212" s="13"/>
      <c r="P212" s="18"/>
      <c r="Q212"/>
      <c r="W212"/>
    </row>
    <row r="213" spans="7:23" ht="16" x14ac:dyDescent="0.2">
      <c r="G213"/>
      <c r="H213"/>
      <c r="J213" s="13"/>
      <c r="K213" s="13"/>
      <c r="L213" s="13"/>
      <c r="M213" s="18"/>
      <c r="N213" s="13"/>
      <c r="O213" s="13"/>
      <c r="P213" s="18"/>
      <c r="Q213"/>
      <c r="W213"/>
    </row>
    <row r="214" spans="7:23" ht="16" x14ac:dyDescent="0.2">
      <c r="G214"/>
      <c r="H214"/>
      <c r="J214" s="13"/>
      <c r="K214" s="13"/>
      <c r="L214" s="13"/>
      <c r="M214" s="18"/>
      <c r="N214" s="13"/>
      <c r="O214" s="13"/>
      <c r="P214" s="18"/>
      <c r="Q214"/>
      <c r="W214"/>
    </row>
    <row r="215" spans="7:23" ht="16" x14ac:dyDescent="0.2">
      <c r="G215"/>
      <c r="H215"/>
      <c r="J215" s="13"/>
      <c r="K215" s="13"/>
      <c r="L215" s="13"/>
      <c r="M215" s="18"/>
      <c r="N215" s="13"/>
      <c r="O215" s="13"/>
      <c r="P215" s="18"/>
      <c r="Q215"/>
      <c r="W215"/>
    </row>
    <row r="216" spans="7:23" ht="16" x14ac:dyDescent="0.2">
      <c r="G216"/>
      <c r="H216"/>
      <c r="J216" s="13"/>
      <c r="K216" s="13"/>
      <c r="L216" s="13"/>
      <c r="M216" s="18"/>
      <c r="N216" s="13"/>
      <c r="O216" s="13"/>
      <c r="P216" s="18"/>
      <c r="Q216"/>
      <c r="W216"/>
    </row>
    <row r="217" spans="7:23" ht="16" x14ac:dyDescent="0.2">
      <c r="G217"/>
      <c r="H217"/>
      <c r="J217" s="13"/>
      <c r="K217" s="13"/>
      <c r="L217" s="13"/>
      <c r="M217" s="18"/>
      <c r="N217" s="13"/>
      <c r="O217" s="13"/>
      <c r="P217" s="18"/>
      <c r="Q217"/>
      <c r="W217"/>
    </row>
    <row r="218" spans="7:23" ht="16" x14ac:dyDescent="0.2">
      <c r="G218"/>
      <c r="H218"/>
      <c r="J218" s="13"/>
      <c r="K218" s="13"/>
      <c r="L218" s="13"/>
      <c r="M218" s="18"/>
      <c r="N218" s="13"/>
      <c r="O218" s="13"/>
      <c r="P218" s="18"/>
      <c r="Q218"/>
      <c r="W218"/>
    </row>
    <row r="219" spans="7:23" ht="16" x14ac:dyDescent="0.2">
      <c r="G219"/>
      <c r="H219"/>
      <c r="J219" s="13"/>
      <c r="K219" s="13"/>
      <c r="L219" s="13"/>
      <c r="M219" s="18"/>
      <c r="N219" s="13"/>
      <c r="O219" s="13"/>
      <c r="P219" s="18"/>
      <c r="Q219"/>
      <c r="W219"/>
    </row>
    <row r="220" spans="7:23" ht="16" x14ac:dyDescent="0.2">
      <c r="G220"/>
      <c r="H220"/>
      <c r="J220" s="13"/>
      <c r="K220" s="13"/>
      <c r="L220" s="13"/>
      <c r="M220" s="18"/>
      <c r="N220" s="13"/>
      <c r="O220" s="13"/>
      <c r="P220" s="18"/>
      <c r="Q220"/>
      <c r="W220"/>
    </row>
    <row r="221" spans="7:23" ht="16" x14ac:dyDescent="0.2">
      <c r="G221"/>
      <c r="H221"/>
      <c r="J221" s="13"/>
      <c r="K221" s="13"/>
      <c r="L221" s="13"/>
      <c r="M221" s="18"/>
      <c r="N221" s="13"/>
      <c r="O221" s="13"/>
      <c r="P221" s="18"/>
      <c r="Q221"/>
      <c r="W221"/>
    </row>
    <row r="222" spans="7:23" ht="16" x14ac:dyDescent="0.2">
      <c r="G222"/>
      <c r="H222"/>
      <c r="J222" s="13"/>
      <c r="K222" s="13"/>
      <c r="L222" s="13"/>
      <c r="M222" s="18"/>
      <c r="N222" s="13"/>
      <c r="O222" s="13"/>
      <c r="P222" s="18"/>
      <c r="Q222"/>
      <c r="W222"/>
    </row>
    <row r="223" spans="7:23" ht="16" x14ac:dyDescent="0.2">
      <c r="G223"/>
      <c r="H223"/>
      <c r="J223" s="13"/>
      <c r="K223" s="13"/>
      <c r="L223" s="13"/>
      <c r="M223" s="18"/>
      <c r="N223" s="13"/>
      <c r="O223" s="13"/>
      <c r="P223" s="18"/>
      <c r="Q223"/>
      <c r="W223"/>
    </row>
    <row r="224" spans="7:23" ht="16" x14ac:dyDescent="0.2">
      <c r="G224"/>
      <c r="H224"/>
      <c r="J224" s="13"/>
      <c r="K224" s="13"/>
      <c r="L224" s="13"/>
      <c r="M224" s="18"/>
      <c r="N224" s="13"/>
      <c r="O224" s="13"/>
      <c r="P224" s="18"/>
      <c r="Q224"/>
      <c r="W224"/>
    </row>
    <row r="225" spans="7:23" ht="16" x14ac:dyDescent="0.2">
      <c r="G225"/>
      <c r="H225"/>
      <c r="J225" s="13"/>
      <c r="K225" s="13"/>
      <c r="L225" s="13"/>
      <c r="M225" s="18"/>
      <c r="N225" s="13"/>
      <c r="O225" s="13"/>
      <c r="P225" s="18"/>
      <c r="Q225"/>
      <c r="W225"/>
    </row>
    <row r="226" spans="7:23" ht="16" x14ac:dyDescent="0.2">
      <c r="G226"/>
      <c r="H226"/>
      <c r="J226" s="13"/>
      <c r="K226" s="13"/>
      <c r="L226" s="13"/>
      <c r="M226" s="18"/>
      <c r="N226" s="13"/>
      <c r="O226" s="13"/>
      <c r="P226" s="18"/>
      <c r="Q226"/>
      <c r="W226"/>
    </row>
    <row r="227" spans="7:23" ht="16" x14ac:dyDescent="0.2">
      <c r="G227"/>
      <c r="H227"/>
      <c r="J227" s="13"/>
      <c r="K227" s="13"/>
      <c r="L227" s="13"/>
      <c r="M227" s="18"/>
      <c r="N227" s="13"/>
      <c r="O227" s="13"/>
      <c r="P227" s="18"/>
      <c r="Q227"/>
      <c r="W227"/>
    </row>
    <row r="228" spans="7:23" ht="16" x14ac:dyDescent="0.2">
      <c r="G228"/>
      <c r="H228"/>
      <c r="J228" s="13"/>
      <c r="K228" s="13"/>
      <c r="L228" s="13"/>
      <c r="M228" s="18"/>
      <c r="N228" s="13"/>
      <c r="O228" s="13"/>
      <c r="P228" s="18"/>
      <c r="Q228"/>
      <c r="W228"/>
    </row>
    <row r="229" spans="7:23" ht="16" x14ac:dyDescent="0.2">
      <c r="G229"/>
      <c r="H229"/>
      <c r="J229" s="13"/>
      <c r="K229" s="13"/>
      <c r="L229" s="13"/>
      <c r="M229" s="18"/>
      <c r="N229" s="13"/>
      <c r="O229" s="13"/>
      <c r="P229" s="18"/>
      <c r="Q229"/>
      <c r="W229"/>
    </row>
    <row r="230" spans="7:23" ht="16" x14ac:dyDescent="0.2">
      <c r="G230"/>
      <c r="H230"/>
      <c r="J230" s="13"/>
      <c r="K230" s="13"/>
      <c r="L230" s="13"/>
      <c r="M230" s="18"/>
      <c r="N230" s="13"/>
      <c r="O230" s="13"/>
      <c r="P230" s="18"/>
      <c r="Q230"/>
      <c r="W230"/>
    </row>
    <row r="231" spans="7:23" ht="16" x14ac:dyDescent="0.2">
      <c r="G231"/>
      <c r="H231"/>
      <c r="J231" s="13"/>
      <c r="K231" s="13"/>
      <c r="L231" s="13"/>
      <c r="M231" s="18"/>
      <c r="N231" s="13"/>
      <c r="O231" s="13"/>
      <c r="P231" s="18"/>
      <c r="Q231"/>
      <c r="W231"/>
    </row>
    <row r="232" spans="7:23" ht="16" x14ac:dyDescent="0.2">
      <c r="G232"/>
      <c r="H232"/>
      <c r="J232" s="13"/>
      <c r="K232" s="13"/>
      <c r="L232" s="13"/>
      <c r="M232" s="18"/>
      <c r="N232" s="13"/>
      <c r="O232" s="13"/>
      <c r="P232" s="18"/>
      <c r="Q232"/>
      <c r="W232"/>
    </row>
    <row r="233" spans="7:23" ht="16" x14ac:dyDescent="0.2">
      <c r="G233"/>
      <c r="H233"/>
      <c r="J233" s="13"/>
      <c r="K233" s="13"/>
      <c r="L233" s="13"/>
      <c r="M233" s="18"/>
      <c r="N233" s="13"/>
      <c r="O233" s="13"/>
      <c r="P233" s="18"/>
      <c r="Q233"/>
      <c r="W233"/>
    </row>
    <row r="234" spans="7:23" ht="16" x14ac:dyDescent="0.2">
      <c r="G234"/>
      <c r="H234"/>
      <c r="J234" s="13"/>
      <c r="K234" s="13"/>
      <c r="L234" s="13"/>
      <c r="M234" s="18"/>
      <c r="N234" s="13"/>
      <c r="O234" s="13"/>
      <c r="P234" s="18"/>
      <c r="Q234"/>
      <c r="W234"/>
    </row>
    <row r="235" spans="7:23" ht="16" x14ac:dyDescent="0.2">
      <c r="G235"/>
      <c r="H235"/>
      <c r="J235" s="13"/>
      <c r="K235" s="13"/>
      <c r="L235" s="13"/>
      <c r="M235" s="18"/>
      <c r="N235" s="13"/>
      <c r="O235" s="13"/>
      <c r="P235" s="18"/>
      <c r="Q235"/>
      <c r="W235"/>
    </row>
    <row r="236" spans="7:23" ht="16" x14ac:dyDescent="0.2">
      <c r="G236"/>
      <c r="H236"/>
      <c r="J236" s="13"/>
      <c r="K236" s="13"/>
      <c r="L236" s="13"/>
      <c r="M236" s="18"/>
      <c r="N236" s="13"/>
      <c r="O236" s="13"/>
      <c r="P236" s="18"/>
      <c r="Q236"/>
      <c r="W236"/>
    </row>
    <row r="237" spans="7:23" ht="16" x14ac:dyDescent="0.2">
      <c r="G237"/>
      <c r="H237"/>
      <c r="J237" s="13"/>
      <c r="K237" s="13"/>
      <c r="L237" s="13"/>
      <c r="M237" s="18"/>
      <c r="N237" s="13"/>
      <c r="O237" s="13"/>
      <c r="P237" s="18"/>
      <c r="Q237"/>
      <c r="W237"/>
    </row>
    <row r="238" spans="7:23" ht="16" x14ac:dyDescent="0.2">
      <c r="G238"/>
      <c r="H238"/>
      <c r="J238" s="13"/>
      <c r="K238" s="13"/>
      <c r="L238" s="13"/>
      <c r="M238" s="18"/>
      <c r="N238" s="13"/>
      <c r="O238" s="13"/>
      <c r="P238" s="18"/>
      <c r="Q238"/>
      <c r="W238"/>
    </row>
    <row r="239" spans="7:23" ht="16" x14ac:dyDescent="0.2">
      <c r="G239"/>
      <c r="H239"/>
      <c r="J239" s="13"/>
      <c r="K239" s="13"/>
      <c r="L239" s="13"/>
      <c r="M239" s="18"/>
      <c r="N239" s="13"/>
      <c r="O239" s="13"/>
      <c r="P239" s="18"/>
      <c r="Q239"/>
      <c r="W239"/>
    </row>
    <row r="240" spans="7:23" ht="16" x14ac:dyDescent="0.2">
      <c r="G240"/>
      <c r="H240"/>
      <c r="J240" s="13"/>
      <c r="K240" s="13"/>
      <c r="L240" s="13"/>
      <c r="M240" s="18"/>
      <c r="N240" s="13"/>
      <c r="O240" s="13"/>
      <c r="P240" s="18"/>
      <c r="Q240"/>
      <c r="W240"/>
    </row>
    <row r="241" spans="7:23" ht="16" x14ac:dyDescent="0.2">
      <c r="G241"/>
      <c r="H241"/>
      <c r="J241" s="13"/>
      <c r="K241" s="13"/>
      <c r="L241" s="13"/>
      <c r="M241" s="18"/>
      <c r="N241" s="13"/>
      <c r="O241" s="13"/>
      <c r="P241" s="18"/>
      <c r="Q241"/>
      <c r="W241"/>
    </row>
    <row r="242" spans="7:23" ht="16" x14ac:dyDescent="0.2">
      <c r="G242"/>
      <c r="H242"/>
      <c r="J242" s="13"/>
      <c r="K242" s="13"/>
      <c r="L242" s="13"/>
      <c r="M242" s="18"/>
      <c r="N242" s="13"/>
      <c r="O242" s="13"/>
      <c r="P242" s="18"/>
      <c r="Q242"/>
      <c r="W242"/>
    </row>
    <row r="243" spans="7:23" ht="16" x14ac:dyDescent="0.2">
      <c r="G243"/>
      <c r="H243"/>
      <c r="J243" s="13"/>
      <c r="K243" s="13"/>
      <c r="L243" s="13"/>
      <c r="M243" s="18"/>
      <c r="N243" s="13"/>
      <c r="O243" s="13"/>
      <c r="P243" s="18"/>
      <c r="Q243"/>
      <c r="W243"/>
    </row>
    <row r="244" spans="7:23" ht="16" x14ac:dyDescent="0.2">
      <c r="G244"/>
      <c r="H244"/>
      <c r="J244" s="13"/>
      <c r="K244" s="13"/>
      <c r="L244" s="13"/>
      <c r="M244" s="18"/>
      <c r="N244" s="13"/>
      <c r="O244" s="13"/>
      <c r="P244" s="18"/>
      <c r="Q244"/>
      <c r="W244"/>
    </row>
    <row r="245" spans="7:23" ht="16" x14ac:dyDescent="0.2">
      <c r="G245"/>
      <c r="H245"/>
      <c r="J245" s="13"/>
      <c r="K245" s="13"/>
      <c r="L245" s="13"/>
      <c r="M245" s="18"/>
      <c r="N245" s="13"/>
      <c r="O245" s="13"/>
      <c r="P245" s="18"/>
      <c r="Q245"/>
      <c r="W245"/>
    </row>
    <row r="246" spans="7:23" ht="16" x14ac:dyDescent="0.2">
      <c r="G246"/>
      <c r="H246"/>
      <c r="J246" s="13"/>
      <c r="K246" s="13"/>
      <c r="L246" s="13"/>
      <c r="M246" s="18"/>
      <c r="N246" s="13"/>
      <c r="O246" s="13"/>
      <c r="P246" s="18"/>
      <c r="Q246"/>
      <c r="W246"/>
    </row>
    <row r="247" spans="7:23" ht="16" x14ac:dyDescent="0.2">
      <c r="G247"/>
      <c r="H247"/>
      <c r="J247" s="13"/>
      <c r="K247" s="13"/>
      <c r="L247" s="13"/>
      <c r="M247" s="18"/>
      <c r="N247" s="13"/>
      <c r="O247" s="13"/>
      <c r="P247" s="18"/>
      <c r="Q247"/>
      <c r="W247"/>
    </row>
    <row r="248" spans="7:23" ht="16" x14ac:dyDescent="0.2">
      <c r="G248"/>
      <c r="H248"/>
      <c r="J248" s="13"/>
      <c r="K248" s="13"/>
      <c r="L248" s="13"/>
      <c r="M248" s="18"/>
      <c r="N248" s="13"/>
      <c r="O248" s="13"/>
      <c r="P248" s="18"/>
      <c r="Q248"/>
      <c r="W248"/>
    </row>
    <row r="249" spans="7:23" ht="16" x14ac:dyDescent="0.2">
      <c r="G249"/>
      <c r="H249"/>
      <c r="J249" s="13"/>
      <c r="K249" s="13"/>
      <c r="L249" s="13"/>
      <c r="M249" s="18"/>
      <c r="N249" s="13"/>
      <c r="O249" s="13"/>
      <c r="P249" s="18"/>
      <c r="Q249"/>
      <c r="W249"/>
    </row>
    <row r="250" spans="7:23" ht="16" x14ac:dyDescent="0.2">
      <c r="G250"/>
      <c r="H250"/>
      <c r="J250" s="13"/>
      <c r="K250" s="13"/>
      <c r="L250" s="13"/>
      <c r="M250" s="18"/>
      <c r="N250" s="13"/>
      <c r="O250" s="13"/>
      <c r="P250" s="18"/>
      <c r="Q250"/>
      <c r="W250"/>
    </row>
    <row r="251" spans="7:23" ht="16" x14ac:dyDescent="0.2">
      <c r="G251"/>
      <c r="H251"/>
      <c r="J251" s="13"/>
      <c r="K251" s="13"/>
      <c r="L251" s="13"/>
      <c r="M251" s="18"/>
      <c r="N251" s="13"/>
      <c r="O251" s="13"/>
      <c r="P251" s="18"/>
      <c r="Q251"/>
      <c r="W251"/>
    </row>
    <row r="252" spans="7:23" ht="16" x14ac:dyDescent="0.2">
      <c r="G252"/>
      <c r="H252"/>
      <c r="J252" s="13"/>
      <c r="K252" s="13"/>
      <c r="L252" s="13"/>
      <c r="M252" s="18"/>
      <c r="N252" s="13"/>
      <c r="O252" s="13"/>
      <c r="P252" s="18"/>
      <c r="Q252"/>
      <c r="W252"/>
    </row>
    <row r="253" spans="7:23" ht="16" x14ac:dyDescent="0.2">
      <c r="G253"/>
      <c r="H253"/>
      <c r="J253" s="13"/>
      <c r="K253" s="13"/>
      <c r="L253" s="13"/>
      <c r="M253" s="18"/>
      <c r="N253" s="13"/>
      <c r="O253" s="13"/>
      <c r="P253" s="18"/>
      <c r="Q253"/>
      <c r="W253"/>
    </row>
    <row r="254" spans="7:23" ht="16" x14ac:dyDescent="0.2">
      <c r="G254"/>
      <c r="H254"/>
      <c r="J254" s="13"/>
      <c r="K254" s="13"/>
      <c r="L254" s="13"/>
      <c r="M254" s="18"/>
      <c r="N254" s="13"/>
      <c r="O254" s="13"/>
      <c r="P254" s="18"/>
      <c r="Q254"/>
      <c r="W254"/>
    </row>
    <row r="255" spans="7:23" ht="16" x14ac:dyDescent="0.2">
      <c r="G255"/>
      <c r="H255"/>
      <c r="J255" s="13"/>
      <c r="K255" s="13"/>
      <c r="L255" s="13"/>
      <c r="M255" s="18"/>
      <c r="N255" s="13"/>
      <c r="O255" s="13"/>
      <c r="P255" s="18"/>
      <c r="Q255"/>
      <c r="W255"/>
    </row>
    <row r="256" spans="7:23" ht="16" x14ac:dyDescent="0.2">
      <c r="G256"/>
      <c r="H256"/>
      <c r="J256" s="13"/>
      <c r="K256" s="13"/>
      <c r="L256" s="13"/>
      <c r="M256" s="18"/>
      <c r="N256" s="13"/>
      <c r="O256" s="13"/>
      <c r="P256" s="18"/>
      <c r="Q256"/>
      <c r="W256"/>
    </row>
    <row r="257" spans="7:23" ht="16" x14ac:dyDescent="0.2">
      <c r="G257"/>
      <c r="H257"/>
      <c r="J257" s="13"/>
      <c r="K257" s="13"/>
      <c r="L257" s="13"/>
      <c r="M257" s="18"/>
      <c r="N257" s="13"/>
      <c r="O257" s="13"/>
      <c r="P257" s="18"/>
      <c r="Q257"/>
      <c r="W257"/>
    </row>
    <row r="258" spans="7:23" ht="16" x14ac:dyDescent="0.2">
      <c r="G258"/>
      <c r="H258"/>
      <c r="J258" s="13"/>
      <c r="K258" s="13"/>
      <c r="L258" s="13"/>
      <c r="M258" s="18"/>
      <c r="N258" s="13"/>
      <c r="O258" s="13"/>
      <c r="P258" s="18"/>
      <c r="Q258"/>
      <c r="W258"/>
    </row>
    <row r="259" spans="7:23" ht="16" x14ac:dyDescent="0.2">
      <c r="G259"/>
      <c r="H259"/>
      <c r="J259" s="13"/>
      <c r="K259" s="13"/>
      <c r="L259" s="13"/>
      <c r="M259" s="18"/>
      <c r="N259" s="13"/>
      <c r="O259" s="13"/>
      <c r="P259" s="18"/>
      <c r="Q259"/>
      <c r="W259"/>
    </row>
    <row r="260" spans="7:23" ht="16" x14ac:dyDescent="0.2">
      <c r="G260"/>
      <c r="H260"/>
      <c r="J260" s="13"/>
      <c r="K260" s="13"/>
      <c r="L260" s="13"/>
      <c r="M260" s="18"/>
      <c r="N260" s="13"/>
      <c r="O260" s="13"/>
      <c r="P260" s="18"/>
      <c r="Q260"/>
      <c r="W260"/>
    </row>
    <row r="261" spans="7:23" ht="16" x14ac:dyDescent="0.2">
      <c r="G261"/>
      <c r="H261"/>
      <c r="J261" s="13"/>
      <c r="K261" s="13"/>
      <c r="L261" s="13"/>
      <c r="M261" s="18"/>
      <c r="N261" s="13"/>
      <c r="O261" s="13"/>
      <c r="P261" s="18"/>
      <c r="Q261"/>
      <c r="W261"/>
    </row>
    <row r="262" spans="7:23" ht="16" x14ac:dyDescent="0.2">
      <c r="G262"/>
      <c r="H262"/>
      <c r="J262" s="13"/>
      <c r="K262" s="13"/>
      <c r="L262" s="13"/>
      <c r="M262" s="18"/>
      <c r="N262" s="13"/>
      <c r="O262" s="13"/>
      <c r="P262" s="18"/>
      <c r="Q262"/>
      <c r="W262"/>
    </row>
    <row r="263" spans="7:23" ht="16" x14ac:dyDescent="0.2">
      <c r="G263"/>
      <c r="H263"/>
      <c r="J263" s="13"/>
      <c r="K263" s="13"/>
      <c r="L263" s="13"/>
      <c r="M263" s="18"/>
      <c r="N263" s="13"/>
      <c r="O263" s="13"/>
      <c r="P263" s="18"/>
      <c r="Q263"/>
      <c r="W263"/>
    </row>
    <row r="264" spans="7:23" ht="16" x14ac:dyDescent="0.2">
      <c r="G264"/>
      <c r="H264"/>
      <c r="J264" s="13"/>
      <c r="K264" s="13"/>
      <c r="L264" s="13"/>
      <c r="M264" s="18"/>
      <c r="N264" s="13"/>
      <c r="O264" s="13"/>
      <c r="P264" s="18"/>
      <c r="Q264"/>
      <c r="W264"/>
    </row>
    <row r="265" spans="7:23" ht="16" x14ac:dyDescent="0.2">
      <c r="G265"/>
      <c r="H265"/>
      <c r="J265" s="13"/>
      <c r="K265" s="13"/>
      <c r="L265" s="13"/>
      <c r="M265" s="18"/>
      <c r="N265" s="13"/>
      <c r="O265" s="13"/>
      <c r="P265" s="18"/>
      <c r="Q265"/>
      <c r="W265"/>
    </row>
    <row r="266" spans="7:23" ht="16" x14ac:dyDescent="0.2">
      <c r="G266"/>
      <c r="H266"/>
      <c r="J266" s="13"/>
      <c r="K266" s="13"/>
      <c r="L266" s="13"/>
      <c r="M266" s="18"/>
      <c r="N266" s="13"/>
      <c r="O266" s="13"/>
      <c r="P266" s="18"/>
      <c r="Q266"/>
      <c r="W266"/>
    </row>
    <row r="267" spans="7:23" ht="16" x14ac:dyDescent="0.2">
      <c r="G267"/>
      <c r="H267"/>
      <c r="J267" s="13"/>
      <c r="K267" s="13"/>
      <c r="L267" s="13"/>
      <c r="M267" s="18"/>
      <c r="N267" s="13"/>
      <c r="O267" s="13"/>
      <c r="P267" s="18"/>
      <c r="Q267"/>
      <c r="W267"/>
    </row>
    <row r="268" spans="7:23" ht="16" x14ac:dyDescent="0.2">
      <c r="G268"/>
      <c r="H268"/>
      <c r="J268" s="13"/>
      <c r="K268" s="13"/>
      <c r="L268" s="13"/>
      <c r="M268" s="18"/>
      <c r="N268" s="13"/>
      <c r="O268" s="13"/>
      <c r="P268" s="18"/>
      <c r="Q268"/>
      <c r="W268"/>
    </row>
    <row r="269" spans="7:23" ht="16" x14ac:dyDescent="0.2">
      <c r="G269"/>
      <c r="H269"/>
      <c r="J269" s="13"/>
      <c r="K269" s="13"/>
      <c r="L269" s="13"/>
      <c r="M269" s="18"/>
      <c r="N269" s="13"/>
      <c r="O269" s="13"/>
      <c r="P269" s="18"/>
      <c r="Q269"/>
      <c r="W269"/>
    </row>
    <row r="270" spans="7:23" ht="16" x14ac:dyDescent="0.2">
      <c r="G270"/>
      <c r="H270"/>
      <c r="J270" s="13"/>
      <c r="K270" s="13"/>
      <c r="L270" s="13"/>
      <c r="M270" s="18"/>
      <c r="N270" s="13"/>
      <c r="O270" s="13"/>
      <c r="P270" s="18"/>
      <c r="Q270"/>
      <c r="W270"/>
    </row>
    <row r="271" spans="7:23" ht="16" x14ac:dyDescent="0.2">
      <c r="G271"/>
      <c r="H271"/>
      <c r="J271" s="13"/>
      <c r="K271" s="13"/>
      <c r="L271" s="13"/>
      <c r="M271" s="18"/>
      <c r="N271" s="13"/>
      <c r="O271" s="13"/>
      <c r="P271" s="18"/>
      <c r="Q271"/>
      <c r="W271"/>
    </row>
    <row r="272" spans="7:23" ht="16" x14ac:dyDescent="0.2">
      <c r="G272"/>
      <c r="H272"/>
      <c r="J272" s="13"/>
      <c r="K272" s="13"/>
      <c r="L272" s="13"/>
      <c r="M272" s="18"/>
      <c r="N272" s="13"/>
      <c r="O272" s="13"/>
      <c r="P272" s="18"/>
      <c r="Q272"/>
      <c r="W272"/>
    </row>
    <row r="273" spans="7:23" ht="16" x14ac:dyDescent="0.2">
      <c r="G273"/>
      <c r="H273"/>
      <c r="J273" s="13"/>
      <c r="K273" s="13"/>
      <c r="L273" s="13"/>
      <c r="M273" s="18"/>
      <c r="N273" s="13"/>
      <c r="O273" s="13"/>
      <c r="P273" s="18"/>
      <c r="Q273"/>
      <c r="W273"/>
    </row>
    <row r="274" spans="7:23" ht="16" x14ac:dyDescent="0.2">
      <c r="G274"/>
      <c r="H274"/>
      <c r="J274" s="13"/>
      <c r="K274" s="13"/>
      <c r="L274" s="13"/>
      <c r="M274" s="18"/>
      <c r="N274" s="13"/>
      <c r="O274" s="13"/>
      <c r="P274" s="18"/>
      <c r="Q274"/>
      <c r="W274"/>
    </row>
    <row r="275" spans="7:23" ht="16" x14ac:dyDescent="0.2">
      <c r="G275"/>
      <c r="H275"/>
      <c r="J275" s="13"/>
      <c r="K275" s="13"/>
      <c r="L275" s="13"/>
      <c r="M275" s="18"/>
      <c r="N275" s="13"/>
      <c r="O275" s="13"/>
      <c r="P275" s="18"/>
      <c r="Q275"/>
      <c r="W275"/>
    </row>
    <row r="276" spans="7:23" ht="16" x14ac:dyDescent="0.2">
      <c r="G276"/>
      <c r="H276"/>
      <c r="J276" s="13"/>
      <c r="K276" s="13"/>
      <c r="L276" s="13"/>
      <c r="M276" s="18"/>
      <c r="N276" s="13"/>
      <c r="O276" s="13"/>
      <c r="P276" s="18"/>
      <c r="Q276"/>
      <c r="W276"/>
    </row>
    <row r="277" spans="7:23" ht="16" x14ac:dyDescent="0.2">
      <c r="G277"/>
      <c r="H277"/>
      <c r="J277" s="13"/>
      <c r="K277" s="13"/>
      <c r="L277" s="13"/>
      <c r="M277" s="18"/>
      <c r="N277" s="13"/>
      <c r="O277" s="13"/>
      <c r="P277" s="18"/>
      <c r="Q277"/>
      <c r="W277"/>
    </row>
    <row r="278" spans="7:23" ht="16" x14ac:dyDescent="0.2">
      <c r="G278"/>
      <c r="H278"/>
      <c r="J278" s="13"/>
      <c r="K278" s="13"/>
      <c r="L278" s="13"/>
      <c r="M278" s="18"/>
      <c r="N278" s="13"/>
      <c r="O278" s="13"/>
      <c r="P278" s="18"/>
      <c r="Q278"/>
      <c r="W278"/>
    </row>
    <row r="279" spans="7:23" ht="16" x14ac:dyDescent="0.2">
      <c r="G279"/>
      <c r="H279"/>
      <c r="J279" s="13"/>
      <c r="K279" s="13"/>
      <c r="L279" s="13"/>
      <c r="M279" s="18"/>
      <c r="N279" s="13"/>
      <c r="O279" s="13"/>
      <c r="P279" s="18"/>
      <c r="Q279"/>
      <c r="W279"/>
    </row>
    <row r="280" spans="7:23" ht="16" x14ac:dyDescent="0.2">
      <c r="G280"/>
      <c r="H280"/>
      <c r="J280" s="13"/>
      <c r="K280" s="13"/>
      <c r="L280" s="13"/>
      <c r="M280" s="18"/>
      <c r="N280" s="13"/>
      <c r="O280" s="13"/>
      <c r="P280" s="18"/>
      <c r="Q280"/>
      <c r="W280"/>
    </row>
    <row r="281" spans="7:23" ht="16" x14ac:dyDescent="0.2">
      <c r="G281"/>
      <c r="H281"/>
      <c r="J281" s="13"/>
      <c r="K281" s="13"/>
      <c r="L281" s="13"/>
      <c r="M281" s="18"/>
      <c r="N281" s="13"/>
      <c r="O281" s="13"/>
      <c r="P281" s="18"/>
      <c r="Q281"/>
      <c r="W281"/>
    </row>
    <row r="282" spans="7:23" ht="16" x14ac:dyDescent="0.2">
      <c r="G282"/>
      <c r="H282"/>
      <c r="J282" s="13"/>
      <c r="K282" s="13"/>
      <c r="L282" s="13"/>
      <c r="M282" s="18"/>
      <c r="N282" s="13"/>
      <c r="O282" s="13"/>
      <c r="P282" s="18"/>
      <c r="Q282"/>
      <c r="W282"/>
    </row>
    <row r="283" spans="7:23" ht="16" x14ac:dyDescent="0.2">
      <c r="G283"/>
      <c r="H283"/>
      <c r="J283" s="13"/>
      <c r="K283" s="13"/>
      <c r="L283" s="13"/>
      <c r="M283" s="18"/>
      <c r="N283" s="13"/>
      <c r="O283" s="13"/>
      <c r="P283" s="18"/>
      <c r="Q283"/>
      <c r="W283"/>
    </row>
    <row r="284" spans="7:23" ht="16" x14ac:dyDescent="0.2">
      <c r="G284"/>
      <c r="H284"/>
      <c r="J284" s="13"/>
      <c r="K284" s="13"/>
      <c r="L284" s="13"/>
      <c r="M284" s="18"/>
      <c r="N284" s="13"/>
      <c r="O284" s="13"/>
      <c r="P284" s="18"/>
      <c r="Q284"/>
      <c r="W284"/>
    </row>
    <row r="285" spans="7:23" ht="16" x14ac:dyDescent="0.2">
      <c r="G285"/>
      <c r="H285"/>
      <c r="J285" s="13"/>
      <c r="K285" s="13"/>
      <c r="L285" s="13"/>
      <c r="M285" s="18"/>
      <c r="N285" s="13"/>
      <c r="O285" s="13"/>
      <c r="P285" s="18"/>
      <c r="Q285"/>
      <c r="W285"/>
    </row>
    <row r="286" spans="7:23" ht="16" x14ac:dyDescent="0.2">
      <c r="G286"/>
      <c r="H286"/>
      <c r="J286" s="13"/>
      <c r="K286" s="13"/>
      <c r="L286" s="13"/>
      <c r="M286" s="18"/>
      <c r="N286" s="13"/>
      <c r="O286" s="13"/>
      <c r="P286" s="18"/>
      <c r="Q286"/>
      <c r="W286"/>
    </row>
    <row r="287" spans="7:23" ht="16" x14ac:dyDescent="0.2">
      <c r="G287"/>
      <c r="H287"/>
      <c r="J287" s="13"/>
      <c r="K287" s="13"/>
      <c r="L287" s="13"/>
      <c r="M287" s="18"/>
      <c r="N287" s="13"/>
      <c r="O287" s="13"/>
      <c r="P287" s="18"/>
      <c r="Q287"/>
      <c r="W287"/>
    </row>
    <row r="288" spans="7:23" ht="16" x14ac:dyDescent="0.2">
      <c r="G288"/>
      <c r="H288"/>
      <c r="J288" s="13"/>
      <c r="K288" s="13"/>
      <c r="L288" s="13"/>
      <c r="M288" s="18"/>
      <c r="N288" s="13"/>
      <c r="O288" s="13"/>
      <c r="P288" s="18"/>
      <c r="Q288"/>
      <c r="W288"/>
    </row>
    <row r="289" spans="7:23" ht="16" x14ac:dyDescent="0.2">
      <c r="G289"/>
      <c r="H289"/>
      <c r="J289" s="13"/>
      <c r="K289" s="13"/>
      <c r="L289" s="13"/>
      <c r="M289" s="18"/>
      <c r="N289" s="13"/>
      <c r="O289" s="13"/>
      <c r="P289" s="18"/>
      <c r="Q289"/>
      <c r="W289"/>
    </row>
    <row r="290" spans="7:23" ht="16" x14ac:dyDescent="0.2">
      <c r="G290"/>
      <c r="H290"/>
      <c r="J290" s="13"/>
      <c r="K290" s="13"/>
      <c r="L290" s="13"/>
      <c r="M290" s="18"/>
      <c r="N290" s="13"/>
      <c r="O290" s="13"/>
      <c r="P290" s="18"/>
      <c r="Q290"/>
      <c r="W290"/>
    </row>
    <row r="291" spans="7:23" ht="16" x14ac:dyDescent="0.2">
      <c r="G291"/>
      <c r="H291"/>
      <c r="J291" s="13"/>
      <c r="K291" s="13"/>
      <c r="L291" s="13"/>
      <c r="M291" s="18"/>
      <c r="N291" s="13"/>
      <c r="O291" s="13"/>
      <c r="P291" s="18"/>
      <c r="Q291"/>
      <c r="W291"/>
    </row>
    <row r="292" spans="7:23" ht="16" x14ac:dyDescent="0.2">
      <c r="G292"/>
      <c r="H292"/>
      <c r="J292" s="13"/>
      <c r="K292" s="13"/>
      <c r="L292" s="13"/>
      <c r="M292" s="18"/>
      <c r="N292" s="13"/>
      <c r="O292" s="13"/>
      <c r="P292" s="18"/>
      <c r="Q292"/>
      <c r="W292"/>
    </row>
    <row r="293" spans="7:23" ht="16" x14ac:dyDescent="0.2">
      <c r="G293"/>
      <c r="H293"/>
      <c r="J293" s="13"/>
      <c r="K293" s="13"/>
      <c r="L293" s="13"/>
      <c r="M293" s="18"/>
      <c r="N293" s="13"/>
      <c r="O293" s="13"/>
      <c r="P293" s="18"/>
      <c r="Q293"/>
      <c r="W293"/>
    </row>
    <row r="294" spans="7:23" ht="16" x14ac:dyDescent="0.2">
      <c r="G294"/>
      <c r="H294"/>
      <c r="J294" s="13"/>
      <c r="K294" s="13"/>
      <c r="L294" s="13"/>
      <c r="M294" s="18"/>
      <c r="N294" s="13"/>
      <c r="O294" s="13"/>
      <c r="P294" s="18"/>
      <c r="Q294"/>
      <c r="W294"/>
    </row>
    <row r="295" spans="7:23" ht="16" x14ac:dyDescent="0.2">
      <c r="G295"/>
      <c r="H295"/>
      <c r="J295" s="13"/>
      <c r="K295" s="13"/>
      <c r="L295" s="13"/>
      <c r="M295" s="18"/>
      <c r="N295" s="13"/>
      <c r="O295" s="13"/>
      <c r="P295" s="18"/>
      <c r="Q295"/>
      <c r="W295"/>
    </row>
    <row r="296" spans="7:23" ht="16" x14ac:dyDescent="0.2">
      <c r="G296"/>
      <c r="H296"/>
      <c r="J296" s="13"/>
      <c r="K296" s="13"/>
      <c r="L296" s="13"/>
      <c r="M296" s="18"/>
      <c r="N296" s="13"/>
      <c r="O296" s="13"/>
      <c r="P296" s="18"/>
      <c r="Q296"/>
      <c r="W296"/>
    </row>
    <row r="297" spans="7:23" ht="16" x14ac:dyDescent="0.2">
      <c r="G297"/>
      <c r="H297"/>
      <c r="J297" s="13"/>
      <c r="K297" s="13"/>
      <c r="L297" s="13"/>
      <c r="M297" s="18"/>
      <c r="N297" s="13"/>
      <c r="O297" s="13"/>
      <c r="P297" s="18"/>
      <c r="Q297"/>
      <c r="W297"/>
    </row>
    <row r="298" spans="7:23" ht="16" x14ac:dyDescent="0.2">
      <c r="G298"/>
      <c r="H298"/>
      <c r="J298" s="13"/>
      <c r="K298" s="13"/>
      <c r="L298" s="13"/>
      <c r="M298" s="18"/>
      <c r="N298" s="13"/>
      <c r="O298" s="13"/>
      <c r="P298" s="18"/>
      <c r="Q298"/>
      <c r="W298"/>
    </row>
    <row r="299" spans="7:23" ht="16" x14ac:dyDescent="0.2">
      <c r="G299"/>
      <c r="H299"/>
      <c r="J299" s="13"/>
      <c r="K299" s="13"/>
      <c r="L299" s="13"/>
      <c r="M299" s="18"/>
      <c r="N299" s="13"/>
      <c r="O299" s="13"/>
      <c r="P299" s="18"/>
      <c r="Q299"/>
      <c r="W299"/>
    </row>
    <row r="300" spans="7:23" ht="16" x14ac:dyDescent="0.2">
      <c r="G300"/>
      <c r="H300"/>
      <c r="J300" s="13"/>
      <c r="K300" s="13"/>
      <c r="L300" s="13"/>
      <c r="M300" s="18"/>
      <c r="N300" s="13"/>
      <c r="O300" s="13"/>
      <c r="P300" s="18"/>
      <c r="Q300"/>
      <c r="W300"/>
    </row>
    <row r="301" spans="7:23" ht="16" x14ac:dyDescent="0.2">
      <c r="G301"/>
      <c r="H301"/>
      <c r="J301" s="13"/>
      <c r="K301" s="13"/>
      <c r="L301" s="13"/>
      <c r="M301" s="18"/>
      <c r="N301" s="13"/>
      <c r="O301" s="13"/>
      <c r="P301" s="18"/>
      <c r="Q301"/>
      <c r="W301"/>
    </row>
    <row r="302" spans="7:23" ht="16" x14ac:dyDescent="0.2">
      <c r="G302"/>
      <c r="H302"/>
      <c r="J302" s="13"/>
      <c r="K302" s="13"/>
      <c r="L302" s="13"/>
      <c r="M302" s="18"/>
      <c r="N302" s="13"/>
      <c r="O302" s="13"/>
      <c r="P302" s="18"/>
      <c r="Q302"/>
      <c r="W302"/>
    </row>
    <row r="303" spans="7:23" ht="16" x14ac:dyDescent="0.2">
      <c r="G303"/>
      <c r="H303"/>
      <c r="J303" s="13"/>
      <c r="K303" s="13"/>
      <c r="L303" s="13"/>
      <c r="M303" s="18"/>
      <c r="N303" s="13"/>
      <c r="O303" s="13"/>
      <c r="P303" s="18"/>
      <c r="Q303"/>
      <c r="W303"/>
    </row>
    <row r="304" spans="7:23" ht="16" x14ac:dyDescent="0.2">
      <c r="G304"/>
      <c r="H304"/>
      <c r="J304" s="13"/>
      <c r="K304" s="13"/>
      <c r="L304" s="13"/>
      <c r="M304" s="18"/>
      <c r="N304" s="13"/>
      <c r="O304" s="13"/>
      <c r="P304" s="18"/>
      <c r="Q304"/>
      <c r="W304"/>
    </row>
    <row r="305" spans="7:23" ht="16" x14ac:dyDescent="0.2">
      <c r="G305"/>
      <c r="H305"/>
      <c r="J305" s="13"/>
      <c r="K305" s="13"/>
      <c r="L305" s="13"/>
      <c r="M305" s="18"/>
      <c r="N305" s="13"/>
      <c r="O305" s="13"/>
      <c r="P305" s="18"/>
      <c r="Q305"/>
      <c r="W305"/>
    </row>
    <row r="306" spans="7:23" ht="16" x14ac:dyDescent="0.2">
      <c r="G306"/>
      <c r="H306"/>
      <c r="J306" s="13"/>
      <c r="K306" s="13"/>
      <c r="L306" s="13"/>
      <c r="M306" s="18"/>
      <c r="N306" s="13"/>
      <c r="O306" s="13"/>
      <c r="P306" s="18"/>
      <c r="Q306"/>
      <c r="W306"/>
    </row>
    <row r="307" spans="7:23" ht="16" x14ac:dyDescent="0.2">
      <c r="G307"/>
      <c r="H307"/>
      <c r="J307" s="13"/>
      <c r="K307" s="13"/>
      <c r="L307" s="13"/>
      <c r="M307" s="18"/>
      <c r="N307" s="13"/>
      <c r="O307" s="13"/>
      <c r="P307" s="18"/>
      <c r="Q307"/>
      <c r="W307"/>
    </row>
    <row r="308" spans="7:23" ht="16" x14ac:dyDescent="0.2">
      <c r="G308"/>
      <c r="H308"/>
      <c r="J308" s="13"/>
      <c r="K308" s="13"/>
      <c r="L308" s="13"/>
      <c r="M308" s="18"/>
      <c r="N308" s="13"/>
      <c r="O308" s="13"/>
      <c r="P308" s="18"/>
      <c r="Q308"/>
      <c r="W308"/>
    </row>
    <row r="309" spans="7:23" ht="16" x14ac:dyDescent="0.2">
      <c r="G309"/>
      <c r="H309"/>
      <c r="J309" s="13"/>
      <c r="K309" s="13"/>
      <c r="L309" s="13"/>
      <c r="M309" s="18"/>
      <c r="N309" s="13"/>
      <c r="O309" s="13"/>
      <c r="P309" s="18"/>
      <c r="Q309"/>
      <c r="W309"/>
    </row>
    <row r="310" spans="7:23" ht="16" x14ac:dyDescent="0.2">
      <c r="G310"/>
      <c r="H310"/>
      <c r="J310" s="13"/>
      <c r="K310" s="13"/>
      <c r="L310" s="13"/>
      <c r="M310" s="18"/>
      <c r="N310" s="13"/>
      <c r="O310" s="13"/>
      <c r="P310" s="18"/>
      <c r="Q310"/>
      <c r="W310"/>
    </row>
    <row r="311" spans="7:23" ht="16" x14ac:dyDescent="0.2">
      <c r="G311"/>
      <c r="H311"/>
      <c r="J311" s="13"/>
      <c r="K311" s="13"/>
      <c r="L311" s="13"/>
      <c r="M311" s="18"/>
      <c r="N311" s="13"/>
      <c r="O311" s="13"/>
      <c r="P311" s="18"/>
      <c r="Q311"/>
      <c r="W311"/>
    </row>
    <row r="312" spans="7:23" ht="16" x14ac:dyDescent="0.2">
      <c r="G312"/>
      <c r="H312"/>
      <c r="J312" s="13"/>
      <c r="K312" s="13"/>
      <c r="L312" s="13"/>
      <c r="M312" s="18"/>
      <c r="N312" s="13"/>
      <c r="O312" s="13"/>
      <c r="P312" s="18"/>
      <c r="Q312"/>
      <c r="W312"/>
    </row>
    <row r="313" spans="7:23" ht="16" x14ac:dyDescent="0.2">
      <c r="G313"/>
      <c r="H313"/>
      <c r="J313" s="13"/>
      <c r="K313" s="13"/>
      <c r="L313" s="13"/>
      <c r="M313" s="18"/>
      <c r="N313" s="13"/>
      <c r="O313" s="13"/>
      <c r="P313" s="18"/>
      <c r="Q313"/>
      <c r="W313"/>
    </row>
    <row r="314" spans="7:23" ht="16" x14ac:dyDescent="0.2">
      <c r="G314"/>
      <c r="H314"/>
      <c r="J314" s="13"/>
      <c r="K314" s="13"/>
      <c r="L314" s="13"/>
      <c r="M314" s="18"/>
      <c r="N314" s="13"/>
      <c r="O314" s="13"/>
      <c r="P314" s="18"/>
      <c r="Q314"/>
      <c r="W314"/>
    </row>
    <row r="315" spans="7:23" ht="16" x14ac:dyDescent="0.2">
      <c r="G315"/>
      <c r="H315"/>
      <c r="J315" s="13"/>
      <c r="K315" s="13"/>
      <c r="L315" s="13"/>
      <c r="M315" s="18"/>
      <c r="N315" s="13"/>
      <c r="O315" s="13"/>
      <c r="P315" s="18"/>
      <c r="Q315"/>
      <c r="W315"/>
    </row>
    <row r="316" spans="7:23" ht="16" x14ac:dyDescent="0.2">
      <c r="G316"/>
      <c r="H316"/>
      <c r="J316" s="13"/>
      <c r="K316" s="13"/>
      <c r="L316" s="13"/>
      <c r="M316" s="18"/>
      <c r="N316" s="13"/>
      <c r="O316" s="13"/>
      <c r="P316" s="18"/>
      <c r="Q316"/>
      <c r="W316"/>
    </row>
    <row r="317" spans="7:23" ht="16" x14ac:dyDescent="0.2">
      <c r="G317"/>
      <c r="H317"/>
      <c r="J317" s="13"/>
      <c r="K317" s="13"/>
      <c r="L317" s="13"/>
      <c r="M317" s="18"/>
      <c r="N317" s="13"/>
      <c r="O317" s="13"/>
      <c r="P317" s="18"/>
      <c r="Q317"/>
      <c r="W317"/>
    </row>
    <row r="318" spans="7:23" ht="16" x14ac:dyDescent="0.2">
      <c r="G318"/>
      <c r="H318"/>
      <c r="J318" s="13"/>
      <c r="K318" s="13"/>
      <c r="L318" s="13"/>
      <c r="M318" s="18"/>
      <c r="N318" s="13"/>
      <c r="O318" s="13"/>
      <c r="P318" s="18"/>
      <c r="Q318"/>
      <c r="W318"/>
    </row>
    <row r="319" spans="7:23" ht="16" x14ac:dyDescent="0.2">
      <c r="G319"/>
      <c r="H319"/>
      <c r="J319" s="13"/>
      <c r="K319" s="13"/>
      <c r="L319" s="13"/>
      <c r="M319" s="18"/>
      <c r="N319" s="13"/>
      <c r="O319" s="13"/>
      <c r="P319" s="18"/>
      <c r="Q319"/>
      <c r="W319"/>
    </row>
    <row r="320" spans="7:23" ht="16" x14ac:dyDescent="0.2">
      <c r="G320"/>
      <c r="H320"/>
      <c r="J320" s="13"/>
      <c r="K320" s="13"/>
      <c r="L320" s="13"/>
      <c r="M320" s="18"/>
      <c r="N320" s="13"/>
      <c r="O320" s="13"/>
      <c r="P320" s="18"/>
      <c r="Q320"/>
      <c r="W320"/>
    </row>
    <row r="321" spans="7:23" ht="16" x14ac:dyDescent="0.2">
      <c r="G321"/>
      <c r="H321"/>
      <c r="J321" s="13"/>
      <c r="K321" s="13"/>
      <c r="L321" s="13"/>
      <c r="M321" s="18"/>
      <c r="N321" s="13"/>
      <c r="O321" s="13"/>
      <c r="P321" s="18"/>
      <c r="Q321"/>
      <c r="W321"/>
    </row>
    <row r="322" spans="7:23" ht="16" x14ac:dyDescent="0.2">
      <c r="G322"/>
      <c r="H322"/>
      <c r="J322" s="13"/>
      <c r="K322" s="13"/>
      <c r="L322" s="13"/>
      <c r="M322" s="18"/>
      <c r="N322" s="13"/>
      <c r="O322" s="13"/>
      <c r="P322" s="18"/>
      <c r="Q322"/>
      <c r="W322"/>
    </row>
    <row r="323" spans="7:23" ht="16" x14ac:dyDescent="0.2">
      <c r="G323"/>
      <c r="H323"/>
      <c r="J323" s="13"/>
      <c r="K323" s="13"/>
      <c r="L323" s="13"/>
      <c r="M323" s="18"/>
      <c r="N323" s="13"/>
      <c r="O323" s="13"/>
      <c r="P323" s="18"/>
      <c r="Q323"/>
      <c r="W323"/>
    </row>
    <row r="324" spans="7:23" ht="16" x14ac:dyDescent="0.2">
      <c r="G324"/>
      <c r="H324"/>
      <c r="J324" s="13"/>
      <c r="K324" s="13"/>
      <c r="L324" s="13"/>
      <c r="M324" s="18"/>
      <c r="N324" s="13"/>
      <c r="O324" s="13"/>
      <c r="P324" s="18"/>
      <c r="Q324"/>
      <c r="W324"/>
    </row>
    <row r="325" spans="7:23" ht="16" x14ac:dyDescent="0.2">
      <c r="G325"/>
      <c r="H325"/>
      <c r="J325" s="13"/>
      <c r="K325" s="13"/>
      <c r="L325" s="13"/>
      <c r="M325" s="18"/>
      <c r="N325" s="13"/>
      <c r="O325" s="13"/>
      <c r="P325" s="18"/>
      <c r="Q325"/>
      <c r="W325"/>
    </row>
    <row r="326" spans="7:23" ht="16" x14ac:dyDescent="0.2">
      <c r="G326"/>
      <c r="H326"/>
      <c r="J326" s="13"/>
      <c r="K326" s="13"/>
      <c r="L326" s="13"/>
      <c r="M326" s="18"/>
      <c r="N326" s="13"/>
      <c r="O326" s="13"/>
      <c r="P326" s="18"/>
      <c r="Q326"/>
      <c r="W326"/>
    </row>
    <row r="327" spans="7:23" ht="16" x14ac:dyDescent="0.2">
      <c r="G327"/>
      <c r="H327"/>
      <c r="J327" s="13"/>
      <c r="K327" s="13"/>
      <c r="L327" s="13"/>
      <c r="M327" s="18"/>
      <c r="N327" s="13"/>
      <c r="O327" s="13"/>
      <c r="P327" s="18"/>
      <c r="Q327"/>
      <c r="W327"/>
    </row>
    <row r="328" spans="7:23" ht="16" x14ac:dyDescent="0.2">
      <c r="G328"/>
      <c r="H328"/>
      <c r="J328" s="13"/>
      <c r="K328" s="13"/>
      <c r="L328" s="13"/>
      <c r="M328" s="18"/>
      <c r="N328" s="13"/>
      <c r="O328" s="13"/>
      <c r="P328" s="18"/>
      <c r="Q328"/>
      <c r="W328"/>
    </row>
    <row r="329" spans="7:23" ht="16" x14ac:dyDescent="0.2">
      <c r="G329"/>
      <c r="H329"/>
      <c r="J329" s="13"/>
      <c r="K329" s="13"/>
      <c r="L329" s="13"/>
      <c r="M329" s="18"/>
      <c r="N329" s="13"/>
      <c r="O329" s="13"/>
      <c r="P329" s="18"/>
      <c r="Q329"/>
      <c r="W329"/>
    </row>
    <row r="330" spans="7:23" ht="16" x14ac:dyDescent="0.2">
      <c r="G330"/>
      <c r="H330"/>
      <c r="J330" s="13"/>
      <c r="K330" s="13"/>
      <c r="L330" s="13"/>
      <c r="M330" s="18"/>
      <c r="N330" s="13"/>
      <c r="O330" s="13"/>
      <c r="P330" s="18"/>
      <c r="Q330"/>
      <c r="W330"/>
    </row>
    <row r="331" spans="7:23" ht="16" x14ac:dyDescent="0.2">
      <c r="G331"/>
      <c r="H331"/>
      <c r="J331" s="13"/>
      <c r="K331" s="13"/>
      <c r="L331" s="13"/>
      <c r="M331" s="18"/>
      <c r="N331" s="13"/>
      <c r="O331" s="13"/>
      <c r="P331" s="18"/>
      <c r="Q331"/>
      <c r="W331"/>
    </row>
    <row r="332" spans="7:23" ht="16" x14ac:dyDescent="0.2">
      <c r="G332"/>
      <c r="H332"/>
      <c r="J332" s="13"/>
      <c r="K332" s="13"/>
      <c r="L332" s="13"/>
      <c r="M332" s="18"/>
      <c r="N332" s="13"/>
      <c r="O332" s="13"/>
      <c r="P332" s="18"/>
      <c r="Q332"/>
      <c r="W332"/>
    </row>
    <row r="333" spans="7:23" ht="16" x14ac:dyDescent="0.2">
      <c r="G333"/>
      <c r="H333"/>
      <c r="J333" s="13"/>
      <c r="K333" s="13"/>
      <c r="L333" s="13"/>
      <c r="M333" s="18"/>
      <c r="N333" s="13"/>
      <c r="O333" s="13"/>
      <c r="P333" s="18"/>
      <c r="Q333"/>
      <c r="W333"/>
    </row>
    <row r="334" spans="7:23" ht="16" x14ac:dyDescent="0.2">
      <c r="G334"/>
      <c r="H334"/>
      <c r="J334" s="13"/>
      <c r="K334" s="13"/>
      <c r="L334" s="13"/>
      <c r="M334" s="18"/>
      <c r="N334" s="13"/>
      <c r="O334" s="13"/>
      <c r="P334" s="18"/>
      <c r="Q334"/>
      <c r="W334"/>
    </row>
    <row r="335" spans="7:23" ht="16" x14ac:dyDescent="0.2">
      <c r="G335"/>
      <c r="H335"/>
      <c r="J335" s="13"/>
      <c r="K335" s="13"/>
      <c r="L335" s="13"/>
      <c r="M335" s="18"/>
      <c r="N335" s="13"/>
      <c r="O335" s="13"/>
      <c r="P335" s="18"/>
      <c r="Q335"/>
      <c r="W335"/>
    </row>
    <row r="336" spans="7:23" ht="16" x14ac:dyDescent="0.2">
      <c r="G336"/>
      <c r="H336"/>
      <c r="J336" s="13"/>
      <c r="K336" s="13"/>
      <c r="L336" s="13"/>
      <c r="M336" s="18"/>
      <c r="N336" s="13"/>
      <c r="O336" s="13"/>
      <c r="P336" s="18"/>
      <c r="Q336"/>
      <c r="W336"/>
    </row>
    <row r="337" spans="7:23" ht="16" x14ac:dyDescent="0.2">
      <c r="G337"/>
      <c r="H337"/>
      <c r="J337" s="13"/>
      <c r="K337" s="13"/>
      <c r="L337" s="13"/>
      <c r="M337" s="18"/>
      <c r="N337" s="13"/>
      <c r="O337" s="13"/>
      <c r="P337" s="18"/>
      <c r="Q337"/>
      <c r="W337"/>
    </row>
    <row r="338" spans="7:23" ht="16" x14ac:dyDescent="0.2">
      <c r="G338"/>
      <c r="H338"/>
      <c r="J338" s="13"/>
      <c r="K338" s="13"/>
      <c r="L338" s="13"/>
      <c r="M338" s="18"/>
      <c r="N338" s="13"/>
      <c r="O338" s="13"/>
      <c r="P338" s="18"/>
      <c r="Q338"/>
      <c r="W338"/>
    </row>
    <row r="339" spans="7:23" ht="16" x14ac:dyDescent="0.2">
      <c r="G339"/>
      <c r="H339"/>
      <c r="J339" s="13"/>
      <c r="K339" s="13"/>
      <c r="L339" s="13"/>
      <c r="M339" s="18"/>
      <c r="N339" s="13"/>
      <c r="O339" s="13"/>
      <c r="P339" s="18"/>
      <c r="Q339"/>
      <c r="W339"/>
    </row>
    <row r="340" spans="7:23" ht="16" x14ac:dyDescent="0.2">
      <c r="G340"/>
      <c r="H340"/>
      <c r="J340" s="13"/>
      <c r="K340" s="13"/>
      <c r="L340" s="13"/>
      <c r="M340" s="18"/>
      <c r="N340" s="13"/>
      <c r="O340" s="13"/>
      <c r="P340" s="18"/>
      <c r="Q340"/>
      <c r="W340"/>
    </row>
    <row r="341" spans="7:23" ht="16" x14ac:dyDescent="0.2">
      <c r="G341"/>
      <c r="H341"/>
      <c r="J341" s="13"/>
      <c r="K341" s="13"/>
      <c r="L341" s="13"/>
      <c r="M341" s="18"/>
      <c r="N341" s="13"/>
      <c r="O341" s="13"/>
      <c r="P341" s="18"/>
      <c r="Q341"/>
      <c r="W341"/>
    </row>
    <row r="342" spans="7:23" ht="16" x14ac:dyDescent="0.2">
      <c r="G342"/>
      <c r="H342"/>
      <c r="J342" s="13"/>
      <c r="K342" s="13"/>
      <c r="L342" s="13"/>
      <c r="M342" s="18"/>
      <c r="N342" s="13"/>
      <c r="O342" s="13"/>
      <c r="P342" s="18"/>
      <c r="Q342"/>
      <c r="W342"/>
    </row>
    <row r="343" spans="7:23" ht="16" x14ac:dyDescent="0.2">
      <c r="G343"/>
      <c r="H343"/>
      <c r="J343" s="13"/>
      <c r="K343" s="13"/>
      <c r="L343" s="13"/>
      <c r="M343" s="18"/>
      <c r="N343" s="13"/>
      <c r="O343" s="13"/>
      <c r="P343" s="18"/>
      <c r="Q343"/>
      <c r="W343"/>
    </row>
    <row r="344" spans="7:23" ht="16" x14ac:dyDescent="0.2">
      <c r="G344"/>
      <c r="H344"/>
      <c r="J344" s="13"/>
      <c r="K344" s="13"/>
      <c r="L344" s="13"/>
      <c r="M344" s="18"/>
      <c r="N344" s="13"/>
      <c r="O344" s="13"/>
      <c r="P344" s="18"/>
      <c r="Q344"/>
      <c r="W344"/>
    </row>
    <row r="345" spans="7:23" ht="16" x14ac:dyDescent="0.2">
      <c r="G345"/>
      <c r="H345"/>
      <c r="J345" s="13"/>
      <c r="K345" s="13"/>
      <c r="L345" s="13"/>
      <c r="M345" s="18"/>
      <c r="N345" s="13"/>
      <c r="O345" s="13"/>
      <c r="P345" s="18"/>
      <c r="Q345"/>
      <c r="W345"/>
    </row>
    <row r="346" spans="7:23" ht="16" x14ac:dyDescent="0.2">
      <c r="G346"/>
      <c r="H346"/>
      <c r="J346" s="13"/>
      <c r="K346" s="13"/>
      <c r="L346" s="13"/>
      <c r="M346" s="18"/>
      <c r="N346" s="13"/>
      <c r="O346" s="13"/>
      <c r="P346" s="18"/>
      <c r="Q346"/>
      <c r="W346"/>
    </row>
    <row r="347" spans="7:23" ht="16" x14ac:dyDescent="0.2">
      <c r="G347"/>
      <c r="H347"/>
      <c r="J347" s="13"/>
      <c r="K347" s="13"/>
      <c r="L347" s="13"/>
      <c r="M347" s="18"/>
      <c r="N347" s="13"/>
      <c r="O347" s="13"/>
      <c r="P347" s="18"/>
      <c r="Q347"/>
      <c r="W347"/>
    </row>
    <row r="348" spans="7:23" ht="16" x14ac:dyDescent="0.2">
      <c r="G348"/>
      <c r="H348"/>
      <c r="J348" s="13"/>
      <c r="K348" s="13"/>
      <c r="L348" s="13"/>
      <c r="M348" s="18"/>
      <c r="N348" s="13"/>
      <c r="O348" s="13"/>
      <c r="P348" s="18"/>
      <c r="Q348"/>
      <c r="W348"/>
    </row>
    <row r="349" spans="7:23" ht="16" x14ac:dyDescent="0.2">
      <c r="G349"/>
      <c r="H349"/>
      <c r="J349" s="13"/>
      <c r="K349" s="13"/>
      <c r="L349" s="13"/>
      <c r="M349" s="18"/>
      <c r="N349" s="13"/>
      <c r="O349" s="13"/>
      <c r="P349" s="18"/>
      <c r="Q349"/>
      <c r="W349"/>
    </row>
    <row r="350" spans="7:23" ht="16" x14ac:dyDescent="0.2">
      <c r="G350"/>
      <c r="H350"/>
      <c r="J350" s="13"/>
      <c r="K350" s="13"/>
      <c r="L350" s="13"/>
      <c r="M350" s="18"/>
      <c r="N350" s="13"/>
      <c r="O350" s="13"/>
      <c r="P350" s="18"/>
      <c r="Q350"/>
      <c r="W350"/>
    </row>
    <row r="351" spans="7:23" ht="16" x14ac:dyDescent="0.2">
      <c r="G351"/>
      <c r="H351"/>
      <c r="J351" s="13"/>
      <c r="K351" s="13"/>
      <c r="L351" s="13"/>
      <c r="M351" s="18"/>
      <c r="N351" s="13"/>
      <c r="O351" s="13"/>
      <c r="P351" s="18"/>
      <c r="Q351"/>
      <c r="W351"/>
    </row>
    <row r="352" spans="7:23" ht="16" x14ac:dyDescent="0.2">
      <c r="G352"/>
      <c r="H352"/>
      <c r="J352" s="13"/>
      <c r="K352" s="13"/>
      <c r="L352" s="13"/>
      <c r="M352" s="18"/>
      <c r="N352" s="13"/>
      <c r="O352" s="13"/>
      <c r="P352" s="18"/>
      <c r="Q352"/>
      <c r="W352"/>
    </row>
    <row r="353" spans="7:23" ht="16" x14ac:dyDescent="0.2">
      <c r="G353"/>
      <c r="H353"/>
      <c r="J353" s="13"/>
      <c r="K353" s="13"/>
      <c r="L353" s="13"/>
      <c r="M353" s="18"/>
      <c r="N353" s="13"/>
      <c r="O353" s="13"/>
      <c r="P353" s="18"/>
      <c r="Q353"/>
      <c r="W353"/>
    </row>
    <row r="354" spans="7:23" ht="16" x14ac:dyDescent="0.2">
      <c r="G354"/>
      <c r="H354"/>
      <c r="J354" s="13"/>
      <c r="K354" s="13"/>
      <c r="L354" s="13"/>
      <c r="M354" s="18"/>
      <c r="N354" s="13"/>
      <c r="O354" s="13"/>
      <c r="P354" s="18"/>
      <c r="Q354"/>
      <c r="W354"/>
    </row>
    <row r="355" spans="7:23" ht="16" x14ac:dyDescent="0.2">
      <c r="G355"/>
      <c r="H355"/>
      <c r="J355" s="13"/>
      <c r="K355" s="13"/>
      <c r="L355" s="13"/>
      <c r="M355" s="18"/>
      <c r="N355" s="13"/>
      <c r="O355" s="13"/>
      <c r="P355" s="18"/>
      <c r="Q355"/>
      <c r="W355"/>
    </row>
    <row r="356" spans="7:23" ht="16" x14ac:dyDescent="0.2">
      <c r="G356"/>
      <c r="H356"/>
      <c r="J356" s="13"/>
      <c r="K356" s="13"/>
      <c r="L356" s="13"/>
      <c r="M356" s="18"/>
      <c r="N356" s="13"/>
      <c r="O356" s="13"/>
      <c r="P356" s="18"/>
      <c r="Q356"/>
      <c r="W356"/>
    </row>
    <row r="357" spans="7:23" ht="16" x14ac:dyDescent="0.2">
      <c r="G357"/>
      <c r="H357"/>
      <c r="J357" s="13"/>
      <c r="K357" s="13"/>
      <c r="L357" s="13"/>
      <c r="M357" s="18"/>
      <c r="N357" s="13"/>
      <c r="O357" s="13"/>
      <c r="P357" s="18"/>
      <c r="Q357"/>
      <c r="W357"/>
    </row>
    <row r="358" spans="7:23" ht="16" x14ac:dyDescent="0.2">
      <c r="G358"/>
      <c r="H358"/>
      <c r="J358" s="13"/>
      <c r="K358" s="13"/>
      <c r="L358" s="13"/>
      <c r="M358" s="18"/>
      <c r="N358" s="13"/>
      <c r="O358" s="13"/>
      <c r="P358" s="18"/>
      <c r="Q358"/>
      <c r="W358"/>
    </row>
    <row r="359" spans="7:23" ht="16" x14ac:dyDescent="0.2">
      <c r="G359"/>
      <c r="H359"/>
      <c r="J359" s="13"/>
      <c r="K359" s="13"/>
      <c r="L359" s="13"/>
      <c r="M359" s="18"/>
      <c r="N359" s="13"/>
      <c r="O359" s="13"/>
      <c r="P359" s="18"/>
      <c r="Q359"/>
      <c r="W359"/>
    </row>
    <row r="360" spans="7:23" ht="16" x14ac:dyDescent="0.2">
      <c r="G360"/>
      <c r="H360"/>
      <c r="J360" s="13"/>
      <c r="K360" s="13"/>
      <c r="L360" s="13"/>
      <c r="M360" s="18"/>
      <c r="N360" s="13"/>
      <c r="O360" s="13"/>
      <c r="P360" s="18"/>
      <c r="Q360"/>
      <c r="W360"/>
    </row>
    <row r="361" spans="7:23" ht="16" x14ac:dyDescent="0.2">
      <c r="G361"/>
      <c r="H361"/>
      <c r="J361" s="13"/>
      <c r="K361" s="13"/>
      <c r="L361" s="13"/>
      <c r="M361" s="18"/>
      <c r="N361" s="13"/>
      <c r="O361" s="13"/>
      <c r="P361" s="18"/>
      <c r="Q361"/>
      <c r="W361"/>
    </row>
    <row r="362" spans="7:23" ht="16" x14ac:dyDescent="0.2">
      <c r="G362"/>
      <c r="H362"/>
      <c r="J362" s="13"/>
      <c r="K362" s="13"/>
      <c r="L362" s="13"/>
      <c r="M362" s="18"/>
      <c r="N362" s="13"/>
      <c r="O362" s="13"/>
      <c r="P362" s="18"/>
      <c r="Q362"/>
      <c r="W362"/>
    </row>
    <row r="363" spans="7:23" ht="16" x14ac:dyDescent="0.2">
      <c r="G363"/>
      <c r="H363"/>
      <c r="J363" s="13"/>
      <c r="K363" s="13"/>
      <c r="L363" s="13"/>
      <c r="M363" s="18"/>
      <c r="N363" s="13"/>
      <c r="O363" s="13"/>
      <c r="P363" s="18"/>
      <c r="Q363"/>
      <c r="W363"/>
    </row>
    <row r="364" spans="7:23" ht="16" x14ac:dyDescent="0.2">
      <c r="G364"/>
      <c r="H364"/>
      <c r="J364" s="13"/>
      <c r="K364" s="13"/>
      <c r="L364" s="13"/>
      <c r="M364" s="18"/>
      <c r="N364" s="13"/>
      <c r="O364" s="13"/>
      <c r="P364" s="18"/>
      <c r="Q364"/>
      <c r="W364"/>
    </row>
    <row r="365" spans="7:23" ht="16" x14ac:dyDescent="0.2">
      <c r="G365"/>
      <c r="H365"/>
      <c r="J365" s="13"/>
      <c r="K365" s="13"/>
      <c r="L365" s="13"/>
      <c r="M365" s="18"/>
      <c r="N365" s="13"/>
      <c r="O365" s="13"/>
      <c r="P365" s="18"/>
      <c r="Q365"/>
      <c r="W365"/>
    </row>
    <row r="366" spans="7:23" ht="16" x14ac:dyDescent="0.2">
      <c r="G366"/>
      <c r="H366"/>
      <c r="J366" s="13"/>
      <c r="K366" s="13"/>
      <c r="L366" s="13"/>
      <c r="M366" s="18"/>
      <c r="N366" s="13"/>
      <c r="O366" s="13"/>
      <c r="P366" s="18"/>
      <c r="Q366"/>
      <c r="W366"/>
    </row>
    <row r="367" spans="7:23" ht="16" x14ac:dyDescent="0.2">
      <c r="G367"/>
      <c r="H367"/>
      <c r="J367" s="13"/>
      <c r="K367" s="13"/>
      <c r="L367" s="13"/>
      <c r="M367" s="18"/>
      <c r="N367" s="13"/>
      <c r="O367" s="13"/>
      <c r="P367" s="18"/>
      <c r="Q367"/>
      <c r="W367"/>
    </row>
    <row r="368" spans="7:23" ht="16" x14ac:dyDescent="0.2">
      <c r="G368"/>
      <c r="H368"/>
      <c r="J368" s="13"/>
      <c r="K368" s="13"/>
      <c r="L368" s="13"/>
      <c r="M368" s="18"/>
      <c r="N368" s="13"/>
      <c r="O368" s="13"/>
      <c r="P368" s="18"/>
      <c r="Q368"/>
      <c r="W368"/>
    </row>
    <row r="369" spans="7:23" ht="16" x14ac:dyDescent="0.2">
      <c r="G369"/>
      <c r="H369"/>
      <c r="J369" s="13"/>
      <c r="K369" s="13"/>
      <c r="L369" s="13"/>
      <c r="M369" s="18"/>
      <c r="N369" s="13"/>
      <c r="O369" s="13"/>
      <c r="P369" s="18"/>
      <c r="Q369"/>
      <c r="W369"/>
    </row>
    <row r="370" spans="7:23" ht="16" x14ac:dyDescent="0.2">
      <c r="G370"/>
      <c r="H370"/>
      <c r="J370" s="13"/>
      <c r="K370" s="13"/>
      <c r="L370" s="13"/>
      <c r="M370" s="18"/>
      <c r="N370" s="13"/>
      <c r="O370" s="13"/>
      <c r="P370" s="18"/>
      <c r="Q370"/>
      <c r="W370"/>
    </row>
    <row r="371" spans="7:23" ht="16" x14ac:dyDescent="0.2">
      <c r="G371"/>
      <c r="H371"/>
      <c r="J371" s="13"/>
      <c r="K371" s="13"/>
      <c r="L371" s="13"/>
      <c r="M371" s="18"/>
      <c r="N371" s="13"/>
      <c r="O371" s="13"/>
      <c r="P371" s="18"/>
      <c r="Q371"/>
      <c r="W371"/>
    </row>
    <row r="372" spans="7:23" ht="16" x14ac:dyDescent="0.2">
      <c r="G372"/>
      <c r="H372"/>
      <c r="J372" s="13"/>
      <c r="K372" s="13"/>
      <c r="L372" s="13"/>
      <c r="M372" s="18"/>
      <c r="N372" s="13"/>
      <c r="O372" s="13"/>
      <c r="P372" s="18"/>
      <c r="Q372"/>
      <c r="W372"/>
    </row>
    <row r="373" spans="7:23" ht="16" x14ac:dyDescent="0.2">
      <c r="G373"/>
      <c r="H373"/>
      <c r="J373" s="13"/>
      <c r="K373" s="13"/>
      <c r="L373" s="13"/>
      <c r="M373" s="18"/>
      <c r="N373" s="13"/>
      <c r="O373" s="13"/>
      <c r="P373" s="18"/>
      <c r="Q373"/>
      <c r="W373"/>
    </row>
    <row r="374" spans="7:23" ht="16" x14ac:dyDescent="0.2">
      <c r="G374"/>
      <c r="H374"/>
      <c r="J374" s="13"/>
      <c r="K374" s="13"/>
      <c r="L374" s="13"/>
      <c r="M374" s="18"/>
      <c r="N374" s="13"/>
      <c r="O374" s="13"/>
      <c r="P374" s="18"/>
      <c r="Q374"/>
      <c r="W374"/>
    </row>
    <row r="375" spans="7:23" ht="16" x14ac:dyDescent="0.2">
      <c r="G375"/>
      <c r="H375"/>
      <c r="J375" s="13"/>
      <c r="K375" s="13"/>
      <c r="L375" s="13"/>
      <c r="M375" s="18"/>
      <c r="N375" s="13"/>
      <c r="O375" s="13"/>
      <c r="P375" s="18"/>
      <c r="Q375"/>
      <c r="W375"/>
    </row>
    <row r="376" spans="7:23" ht="16" x14ac:dyDescent="0.2">
      <c r="G376"/>
      <c r="H376"/>
      <c r="J376" s="13"/>
      <c r="K376" s="13"/>
      <c r="L376" s="13"/>
      <c r="M376" s="18"/>
      <c r="N376" s="13"/>
      <c r="O376" s="13"/>
      <c r="P376" s="18"/>
      <c r="Q376"/>
      <c r="W376"/>
    </row>
    <row r="377" spans="7:23" ht="16" x14ac:dyDescent="0.2">
      <c r="G377"/>
      <c r="H377"/>
      <c r="J377" s="13"/>
      <c r="K377" s="13"/>
      <c r="L377" s="13"/>
      <c r="M377" s="18"/>
      <c r="N377" s="13"/>
      <c r="O377" s="13"/>
      <c r="P377" s="18"/>
      <c r="Q377"/>
      <c r="W377"/>
    </row>
    <row r="378" spans="7:23" ht="16" x14ac:dyDescent="0.2">
      <c r="G378"/>
      <c r="H378"/>
      <c r="J378" s="13"/>
      <c r="K378" s="13"/>
      <c r="L378" s="13"/>
      <c r="M378" s="18"/>
      <c r="N378" s="13"/>
      <c r="O378" s="13"/>
      <c r="P378" s="18"/>
      <c r="Q378"/>
      <c r="W378"/>
    </row>
    <row r="379" spans="7:23" ht="16" x14ac:dyDescent="0.2">
      <c r="G379"/>
      <c r="H379"/>
      <c r="J379" s="13"/>
      <c r="K379" s="13"/>
      <c r="L379" s="13"/>
      <c r="M379" s="18"/>
      <c r="N379" s="13"/>
      <c r="O379" s="13"/>
      <c r="P379" s="18"/>
      <c r="Q379"/>
      <c r="W379"/>
    </row>
    <row r="380" spans="7:23" ht="16" x14ac:dyDescent="0.2">
      <c r="G380"/>
      <c r="H380"/>
      <c r="J380" s="13"/>
      <c r="K380" s="13"/>
      <c r="L380" s="13"/>
      <c r="M380" s="18"/>
      <c r="N380" s="13"/>
      <c r="O380" s="13"/>
      <c r="P380" s="18"/>
      <c r="Q380"/>
      <c r="W380"/>
    </row>
    <row r="381" spans="7:23" ht="16" x14ac:dyDescent="0.2">
      <c r="G381"/>
      <c r="H381"/>
      <c r="J381" s="13"/>
      <c r="K381" s="13"/>
      <c r="L381" s="13"/>
      <c r="M381" s="18"/>
      <c r="N381" s="13"/>
      <c r="O381" s="13"/>
      <c r="P381" s="18"/>
      <c r="Q381"/>
      <c r="W381"/>
    </row>
    <row r="382" spans="7:23" ht="16" x14ac:dyDescent="0.2">
      <c r="G382"/>
      <c r="H382"/>
      <c r="J382" s="13"/>
      <c r="K382" s="13"/>
      <c r="L382" s="13"/>
      <c r="M382" s="18"/>
      <c r="N382" s="13"/>
      <c r="O382" s="13"/>
      <c r="P382" s="18"/>
      <c r="Q382"/>
      <c r="W382"/>
    </row>
    <row r="383" spans="7:23" ht="16" x14ac:dyDescent="0.2">
      <c r="G383"/>
      <c r="H383"/>
      <c r="J383" s="13"/>
      <c r="K383" s="13"/>
      <c r="L383" s="13"/>
      <c r="M383" s="18"/>
      <c r="N383" s="13"/>
      <c r="O383" s="13"/>
      <c r="P383" s="18"/>
      <c r="Q383"/>
      <c r="W383"/>
    </row>
    <row r="384" spans="7:23" ht="16" x14ac:dyDescent="0.2">
      <c r="G384"/>
      <c r="H384"/>
      <c r="J384" s="13"/>
      <c r="K384" s="13"/>
      <c r="L384" s="13"/>
      <c r="M384" s="18"/>
      <c r="N384" s="13"/>
      <c r="O384" s="13"/>
      <c r="P384" s="18"/>
      <c r="Q384"/>
      <c r="W384"/>
    </row>
    <row r="385" spans="7:23" ht="16" x14ac:dyDescent="0.2">
      <c r="G385"/>
      <c r="H385"/>
      <c r="J385" s="13"/>
      <c r="K385" s="13"/>
      <c r="L385" s="13"/>
      <c r="M385" s="18"/>
      <c r="N385" s="13"/>
      <c r="O385" s="13"/>
      <c r="P385" s="18"/>
      <c r="Q385"/>
      <c r="W385"/>
    </row>
    <row r="386" spans="7:23" ht="16" x14ac:dyDescent="0.2">
      <c r="G386"/>
      <c r="H386"/>
      <c r="J386" s="13"/>
      <c r="K386" s="13"/>
      <c r="L386" s="13"/>
      <c r="M386" s="18"/>
      <c r="N386" s="13"/>
      <c r="O386" s="13"/>
      <c r="P386" s="18"/>
      <c r="Q386"/>
      <c r="W386"/>
    </row>
  </sheetData>
  <sortState xmlns:xlrd2="http://schemas.microsoft.com/office/spreadsheetml/2017/richdata2" ref="B3:AD102">
    <sortCondition ref="R3:R102"/>
  </sortState>
  <phoneticPr fontId="8" type="noConversion"/>
  <hyperlinks>
    <hyperlink ref="AC49" r:id="rId1" xr:uid="{122E88EF-25B1-AF4C-BF46-1CF9DF5429D6}"/>
    <hyperlink ref="AC48" r:id="rId2" xr:uid="{00A49C9E-0C01-1B4C-AFE8-79DAC3CFD286}"/>
    <hyperlink ref="AC100" r:id="rId3" xr:uid="{BD428FC9-CEEF-FC44-8EA0-3141238E6E93}"/>
    <hyperlink ref="AC98" r:id="rId4" xr:uid="{5BC07154-B16C-5F4C-8088-7D8856EE51D0}"/>
    <hyperlink ref="AC69" r:id="rId5" xr:uid="{F97058B3-D7C3-C945-80BA-A497318AED46}"/>
    <hyperlink ref="AC93" r:id="rId6" xr:uid="{498DA471-9302-6347-9AC0-02A5E4E68B92}"/>
    <hyperlink ref="AC53" r:id="rId7" location="sec1-8title" xr:uid="{BBF2E0F2-8D8E-C544-8A8E-F4DE0598807D}"/>
    <hyperlink ref="AC79" r:id="rId8" xr:uid="{01C987CF-4E10-5540-AF2E-610108D206C1}"/>
    <hyperlink ref="AC86" r:id="rId9" xr:uid="{11CB8AC8-81F8-224E-BCB8-4FC9D536916E}"/>
    <hyperlink ref="AC19" r:id="rId10" display="https://www.researchgate.net/profile/Regina-Paz/publication/269544331_Evaluation_of_Glucocorticoid_Faecal_Monitoring_as_a_Non-Invasive_Assessment_of_Stress_in_Captive_Crab-Eating_Fox_Cerdocyoun_thous_After_ACTH_Stimulation/links/54c6276d0cf256ed5a9ca591/Evaluation-of-Glucocorticoid-Faecal-Monitoring-as-a-Non-Invasive-Assessment-of-Stress-in-Captive-Crab-Eating-Fox-Cerdocyoun-thous-After-ACTH-Stimulation.pdf?_sg%5B0%5D=started_experiment_milestone&amp;origin=journalDetail" xr:uid="{0AB63987-0548-1647-AE97-7AF445578241}"/>
    <hyperlink ref="AC23" r:id="rId11" xr:uid="{77150AF4-7F7B-8F4A-8D13-90CBF62D0DEA}"/>
    <hyperlink ref="AC32" r:id="rId12" xr:uid="{95D211DC-C79A-E74A-BDFF-790364E05ECA}"/>
    <hyperlink ref="AC18" r:id="rId13" xr:uid="{E4309FDF-CBC2-C943-A8CA-478D35E14AD1}"/>
    <hyperlink ref="AC29:AC31" r:id="rId14" display="https://journals.co.za/doi/abs/10.3957/056.051.0090" xr:uid="{A69106B8-043C-6F47-BA9F-CC61F974BE23}"/>
    <hyperlink ref="AC40" r:id="rId15" xr:uid="{48148F33-97A2-B048-91DA-00271843B943}"/>
    <hyperlink ref="AC66" r:id="rId16" xr:uid="{E8A1BA53-0722-4F4B-AD94-DC66BD37F48F}"/>
    <hyperlink ref="AC67" r:id="rId17" xr:uid="{5E81770D-96D2-7B4C-9DC2-BE3CECBFADAC}"/>
    <hyperlink ref="AC81" r:id="rId18" xr:uid="{8E5052A8-56C1-454D-A8E7-632D8537E580}"/>
    <hyperlink ref="AC80" r:id="rId19" xr:uid="{69039A30-B002-5445-995D-290669F879DA}"/>
    <hyperlink ref="AC61" r:id="rId20" xr:uid="{F7BA8770-6F43-2943-8BA5-DD3090C38E4C}"/>
    <hyperlink ref="AC102" r:id="rId21" xr:uid="{10965B73-1812-4E45-9523-C0661C086E7B}"/>
  </hyperlinks>
  <pageMargins left="0.7" right="0.7" top="0.75" bottom="0.75" header="0.3" footer="0.3"/>
  <pageSetup orientation="portrait" horizontalDpi="0" verticalDpi="0"/>
  <drawing r:id="rId2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7C602-F37D-F343-B501-28B86CBD2323}">
  <dimension ref="D1:S74"/>
  <sheetViews>
    <sheetView topLeftCell="A36" zoomScale="62" zoomScaleNormal="62" workbookViewId="0">
      <selection activeCell="V76" sqref="V76"/>
    </sheetView>
  </sheetViews>
  <sheetFormatPr baseColWidth="10" defaultColWidth="11" defaultRowHeight="16" x14ac:dyDescent="0.2"/>
  <sheetData>
    <row r="1" spans="4:19" x14ac:dyDescent="0.2">
      <c r="D1" s="28"/>
      <c r="G1" s="2"/>
      <c r="M1" s="2"/>
      <c r="R1" s="2"/>
      <c r="S1" s="23"/>
    </row>
    <row r="2" spans="4:19" x14ac:dyDescent="0.2">
      <c r="D2" s="28"/>
      <c r="G2" s="2"/>
      <c r="M2" s="2"/>
      <c r="R2" s="2"/>
      <c r="S2" s="23"/>
    </row>
    <row r="3" spans="4:19" x14ac:dyDescent="0.2">
      <c r="D3" s="28"/>
      <c r="G3" s="2"/>
      <c r="M3" s="2"/>
      <c r="R3" s="2"/>
      <c r="S3" s="23"/>
    </row>
    <row r="4" spans="4:19" x14ac:dyDescent="0.2">
      <c r="D4" s="28"/>
      <c r="G4" s="2"/>
      <c r="M4" s="2"/>
      <c r="R4" s="2"/>
      <c r="S4" s="23"/>
    </row>
    <row r="5" spans="4:19" x14ac:dyDescent="0.2">
      <c r="D5" s="28"/>
      <c r="G5" s="2"/>
      <c r="M5" s="2"/>
      <c r="R5" s="2"/>
      <c r="S5" s="23"/>
    </row>
    <row r="6" spans="4:19" x14ac:dyDescent="0.2">
      <c r="D6" s="28"/>
      <c r="G6" s="2"/>
      <c r="M6" s="2"/>
      <c r="R6" s="2"/>
      <c r="S6" s="23"/>
    </row>
    <row r="7" spans="4:19" x14ac:dyDescent="0.2">
      <c r="D7" s="28"/>
      <c r="G7" s="2"/>
      <c r="M7" s="2"/>
      <c r="R7" s="2"/>
      <c r="S7" s="23"/>
    </row>
    <row r="8" spans="4:19" x14ac:dyDescent="0.2">
      <c r="D8" s="28"/>
      <c r="G8" s="2"/>
      <c r="M8" s="2"/>
      <c r="R8" s="2"/>
      <c r="S8" s="23"/>
    </row>
    <row r="9" spans="4:19" x14ac:dyDescent="0.2">
      <c r="D9" s="28"/>
      <c r="G9" s="2"/>
      <c r="M9" s="2"/>
      <c r="R9" s="2"/>
      <c r="S9" s="23"/>
    </row>
    <row r="10" spans="4:19" x14ac:dyDescent="0.2">
      <c r="D10" s="28"/>
      <c r="G10" s="2"/>
      <c r="M10" s="2"/>
      <c r="R10" s="2"/>
      <c r="S10" s="23"/>
    </row>
    <row r="11" spans="4:19" x14ac:dyDescent="0.2">
      <c r="D11" s="28"/>
      <c r="G11" s="2"/>
      <c r="M11" s="2"/>
      <c r="R11" s="2"/>
      <c r="S11" s="23"/>
    </row>
    <row r="12" spans="4:19" x14ac:dyDescent="0.2">
      <c r="D12" s="28"/>
      <c r="G12" s="2"/>
      <c r="M12" s="2"/>
      <c r="R12" s="2"/>
      <c r="S12" s="23"/>
    </row>
    <row r="13" spans="4:19" x14ac:dyDescent="0.2">
      <c r="D13" s="28"/>
      <c r="G13" s="2"/>
      <c r="M13" s="2"/>
      <c r="R13" s="2"/>
      <c r="S13" s="23"/>
    </row>
    <row r="14" spans="4:19" x14ac:dyDescent="0.2">
      <c r="D14" s="28"/>
      <c r="G14" s="2"/>
      <c r="M14" s="2"/>
      <c r="R14" s="2"/>
      <c r="S14" s="23"/>
    </row>
    <row r="15" spans="4:19" x14ac:dyDescent="0.2">
      <c r="D15" s="28"/>
      <c r="G15" s="2"/>
      <c r="M15" s="2"/>
      <c r="R15" s="2"/>
      <c r="S15" s="23"/>
    </row>
    <row r="16" spans="4:19" x14ac:dyDescent="0.2">
      <c r="D16" s="28"/>
      <c r="G16" s="2"/>
      <c r="M16" s="2"/>
      <c r="R16" s="2"/>
      <c r="S16" s="23"/>
    </row>
    <row r="17" spans="4:19" x14ac:dyDescent="0.2">
      <c r="D17" s="28"/>
      <c r="G17" s="2"/>
      <c r="M17" s="2"/>
      <c r="R17" s="2"/>
      <c r="S17" s="23"/>
    </row>
    <row r="18" spans="4:19" x14ac:dyDescent="0.2">
      <c r="D18" s="28"/>
      <c r="G18" s="2"/>
      <c r="M18" s="2"/>
      <c r="R18" s="2"/>
      <c r="S18" s="23"/>
    </row>
    <row r="19" spans="4:19" x14ac:dyDescent="0.2">
      <c r="D19" s="2"/>
      <c r="G19" s="2"/>
      <c r="M19" s="2"/>
      <c r="R19" s="2"/>
      <c r="S19" s="23"/>
    </row>
    <row r="20" spans="4:19" x14ac:dyDescent="0.2">
      <c r="D20" s="2"/>
      <c r="G20" s="2"/>
      <c r="M20" s="2"/>
      <c r="R20" s="2"/>
      <c r="S20" s="23"/>
    </row>
    <row r="21" spans="4:19" x14ac:dyDescent="0.2">
      <c r="D21" s="2"/>
      <c r="G21" s="2"/>
      <c r="M21" s="2"/>
      <c r="R21" s="2"/>
      <c r="S21" s="23"/>
    </row>
    <row r="22" spans="4:19" x14ac:dyDescent="0.2">
      <c r="D22" s="2"/>
      <c r="G22" s="2"/>
      <c r="M22" s="2"/>
      <c r="R22" s="2"/>
      <c r="S22" s="23"/>
    </row>
    <row r="23" spans="4:19" x14ac:dyDescent="0.2">
      <c r="D23" s="2"/>
      <c r="G23" s="2"/>
      <c r="M23" s="2"/>
      <c r="R23" s="2"/>
      <c r="S23" s="23"/>
    </row>
    <row r="24" spans="4:19" x14ac:dyDescent="0.2">
      <c r="D24" s="2"/>
      <c r="G24" s="2"/>
      <c r="M24" s="2"/>
      <c r="R24" s="2"/>
      <c r="S24" s="23"/>
    </row>
    <row r="25" spans="4:19" x14ac:dyDescent="0.2">
      <c r="D25" s="2"/>
      <c r="G25" s="2"/>
      <c r="M25" s="2"/>
      <c r="R25" s="2"/>
      <c r="S25" s="23"/>
    </row>
    <row r="26" spans="4:19" x14ac:dyDescent="0.2">
      <c r="D26" s="2"/>
      <c r="G26" s="2"/>
      <c r="M26" s="2"/>
      <c r="R26" s="2"/>
      <c r="S26" s="23"/>
    </row>
    <row r="27" spans="4:19" x14ac:dyDescent="0.2">
      <c r="D27" s="2"/>
      <c r="G27" s="2"/>
      <c r="M27" s="2"/>
      <c r="R27" s="2"/>
      <c r="S27" s="23"/>
    </row>
    <row r="28" spans="4:19" x14ac:dyDescent="0.2">
      <c r="D28" s="2"/>
      <c r="G28" s="2"/>
      <c r="M28" s="2"/>
      <c r="R28" s="2"/>
      <c r="S28" s="23"/>
    </row>
    <row r="29" spans="4:19" x14ac:dyDescent="0.2">
      <c r="D29" s="2"/>
      <c r="G29" s="2"/>
      <c r="M29" s="2"/>
      <c r="R29" s="2"/>
      <c r="S29" s="23"/>
    </row>
    <row r="30" spans="4:19" x14ac:dyDescent="0.2">
      <c r="D30" s="2"/>
      <c r="G30" s="2"/>
      <c r="M30" s="2"/>
      <c r="R30" s="2"/>
      <c r="S30" s="23"/>
    </row>
    <row r="31" spans="4:19" x14ac:dyDescent="0.2">
      <c r="D31" s="2"/>
      <c r="G31" s="2"/>
      <c r="M31" s="2"/>
      <c r="R31" s="2"/>
      <c r="S31" s="23"/>
    </row>
    <row r="32" spans="4:19" x14ac:dyDescent="0.2">
      <c r="D32" s="2"/>
      <c r="G32" s="2"/>
      <c r="M32" s="2"/>
      <c r="R32" s="2"/>
      <c r="S32" s="23"/>
    </row>
    <row r="33" spans="4:19" x14ac:dyDescent="0.2">
      <c r="D33" s="2"/>
      <c r="G33" s="2"/>
      <c r="M33" s="2"/>
      <c r="R33" s="2"/>
      <c r="S33" s="23"/>
    </row>
    <row r="34" spans="4:19" x14ac:dyDescent="0.2">
      <c r="D34" s="2"/>
      <c r="G34" s="2"/>
      <c r="M34" s="2"/>
      <c r="R34" s="2"/>
      <c r="S34" s="23"/>
    </row>
    <row r="35" spans="4:19" x14ac:dyDescent="0.2">
      <c r="D35" s="2"/>
      <c r="G35" s="2"/>
      <c r="M35" s="2"/>
      <c r="R35" s="2"/>
      <c r="S35" s="23"/>
    </row>
    <row r="36" spans="4:19" x14ac:dyDescent="0.2">
      <c r="D36" s="2"/>
      <c r="G36" s="2"/>
      <c r="M36" s="2"/>
      <c r="R36" s="2"/>
      <c r="S36" s="23"/>
    </row>
    <row r="37" spans="4:19" x14ac:dyDescent="0.2">
      <c r="D37" s="2"/>
      <c r="G37" s="2"/>
      <c r="M37" s="2"/>
      <c r="R37" s="2"/>
      <c r="S37" s="23"/>
    </row>
    <row r="38" spans="4:19" x14ac:dyDescent="0.2">
      <c r="D38" s="2"/>
      <c r="G38" s="2"/>
      <c r="M38" s="2"/>
      <c r="R38" s="2"/>
      <c r="S38" s="23"/>
    </row>
    <row r="39" spans="4:19" x14ac:dyDescent="0.2">
      <c r="D39" s="2"/>
      <c r="G39" s="2"/>
      <c r="M39" s="2"/>
      <c r="R39" s="2"/>
      <c r="S39" s="23"/>
    </row>
    <row r="40" spans="4:19" x14ac:dyDescent="0.2">
      <c r="D40" s="2"/>
      <c r="G40" s="2"/>
      <c r="M40" s="2"/>
      <c r="R40" s="2"/>
      <c r="S40" s="23"/>
    </row>
    <row r="41" spans="4:19" x14ac:dyDescent="0.2">
      <c r="D41" s="2"/>
      <c r="G41" s="2"/>
      <c r="M41" s="2"/>
      <c r="R41" s="2"/>
      <c r="S41" s="23"/>
    </row>
    <row r="42" spans="4:19" x14ac:dyDescent="0.2">
      <c r="D42" s="2"/>
      <c r="G42" s="2"/>
      <c r="M42" s="2"/>
      <c r="R42" s="2"/>
      <c r="S42" s="23"/>
    </row>
    <row r="43" spans="4:19" x14ac:dyDescent="0.2">
      <c r="D43" s="2"/>
      <c r="G43" s="2"/>
      <c r="M43" s="2"/>
      <c r="R43" s="2"/>
      <c r="S43" s="23"/>
    </row>
    <row r="44" spans="4:19" x14ac:dyDescent="0.2">
      <c r="D44" s="2"/>
      <c r="G44" s="2"/>
      <c r="M44" s="2"/>
      <c r="R44" s="2"/>
      <c r="S44" s="23"/>
    </row>
    <row r="45" spans="4:19" x14ac:dyDescent="0.2">
      <c r="D45" s="2"/>
      <c r="G45" s="2"/>
      <c r="M45" s="2"/>
      <c r="R45" s="2"/>
      <c r="S45" s="23"/>
    </row>
    <row r="46" spans="4:19" x14ac:dyDescent="0.2">
      <c r="D46" s="2"/>
      <c r="G46" s="2"/>
      <c r="M46" s="2"/>
      <c r="R46" s="2"/>
      <c r="S46" s="23"/>
    </row>
    <row r="47" spans="4:19" x14ac:dyDescent="0.2">
      <c r="D47" s="2"/>
      <c r="G47" s="2"/>
      <c r="M47" s="2"/>
      <c r="R47" s="2"/>
      <c r="S47" s="23"/>
    </row>
    <row r="48" spans="4:19" x14ac:dyDescent="0.2">
      <c r="D48" s="2"/>
      <c r="G48" s="2"/>
      <c r="M48" s="2"/>
      <c r="R48" s="2"/>
      <c r="S48" s="23"/>
    </row>
    <row r="49" spans="4:19" x14ac:dyDescent="0.2">
      <c r="D49" s="2"/>
      <c r="G49" s="2"/>
      <c r="M49" s="2"/>
      <c r="R49" s="2"/>
      <c r="S49" s="23"/>
    </row>
    <row r="50" spans="4:19" x14ac:dyDescent="0.2">
      <c r="D50" s="2"/>
      <c r="G50" s="2"/>
      <c r="M50" s="2"/>
      <c r="R50" s="2"/>
      <c r="S50" s="23"/>
    </row>
    <row r="51" spans="4:19" x14ac:dyDescent="0.2">
      <c r="D51" s="2"/>
      <c r="G51" s="2"/>
      <c r="M51" s="2"/>
      <c r="R51" s="2"/>
      <c r="S51" s="23"/>
    </row>
    <row r="52" spans="4:19" x14ac:dyDescent="0.2">
      <c r="D52" s="2"/>
      <c r="G52" s="2"/>
      <c r="M52" s="2"/>
      <c r="R52" s="2"/>
      <c r="S52" s="23"/>
    </row>
    <row r="53" spans="4:19" x14ac:dyDescent="0.2">
      <c r="D53" s="2"/>
      <c r="G53" s="2"/>
      <c r="M53" s="2"/>
      <c r="R53" s="2"/>
      <c r="S53" s="23"/>
    </row>
    <row r="54" spans="4:19" x14ac:dyDescent="0.2">
      <c r="D54" s="2"/>
      <c r="G54" s="2"/>
      <c r="M54" s="2"/>
      <c r="R54" s="2"/>
      <c r="S54" s="23"/>
    </row>
    <row r="55" spans="4:19" x14ac:dyDescent="0.2">
      <c r="D55" s="2"/>
      <c r="G55" s="2"/>
      <c r="M55" s="2"/>
      <c r="R55" s="2"/>
      <c r="S55" s="23"/>
    </row>
    <row r="56" spans="4:19" x14ac:dyDescent="0.2">
      <c r="D56" s="2"/>
      <c r="G56" s="2"/>
      <c r="M56" s="2"/>
      <c r="R56" s="2"/>
      <c r="S56" s="23"/>
    </row>
    <row r="57" spans="4:19" x14ac:dyDescent="0.2">
      <c r="D57" s="2"/>
      <c r="G57" s="2"/>
      <c r="M57" s="2"/>
      <c r="R57" s="2"/>
      <c r="S57" s="23"/>
    </row>
    <row r="58" spans="4:19" x14ac:dyDescent="0.2">
      <c r="D58" s="2"/>
      <c r="G58" s="2"/>
      <c r="M58" s="2"/>
      <c r="R58" s="2"/>
      <c r="S58" s="23"/>
    </row>
    <row r="59" spans="4:19" x14ac:dyDescent="0.2">
      <c r="D59" s="2"/>
      <c r="G59" s="2"/>
      <c r="M59" s="2"/>
      <c r="R59" s="2"/>
      <c r="S59" s="23"/>
    </row>
    <row r="60" spans="4:19" x14ac:dyDescent="0.2">
      <c r="D60" s="2"/>
      <c r="G60" s="2"/>
      <c r="M60" s="2"/>
      <c r="R60" s="2"/>
      <c r="S60" s="23"/>
    </row>
    <row r="61" spans="4:19" x14ac:dyDescent="0.2">
      <c r="D61" s="2"/>
      <c r="G61" s="2"/>
      <c r="M61" s="2"/>
      <c r="R61" s="2"/>
      <c r="S61" s="23"/>
    </row>
    <row r="62" spans="4:19" x14ac:dyDescent="0.2">
      <c r="D62" s="2"/>
      <c r="G62" s="2"/>
      <c r="M62" s="2"/>
      <c r="R62" s="2"/>
      <c r="S62" s="23"/>
    </row>
    <row r="63" spans="4:19" x14ac:dyDescent="0.2">
      <c r="D63" s="2"/>
      <c r="G63" s="2"/>
      <c r="M63" s="2"/>
      <c r="R63" s="2"/>
      <c r="S63" s="23"/>
    </row>
    <row r="64" spans="4:19" x14ac:dyDescent="0.2">
      <c r="D64" s="2"/>
      <c r="G64" s="2"/>
      <c r="M64" s="2"/>
      <c r="R64" s="2"/>
      <c r="S64" s="23"/>
    </row>
    <row r="65" spans="4:19" x14ac:dyDescent="0.2">
      <c r="D65" s="2"/>
      <c r="G65" s="2"/>
      <c r="M65" s="2"/>
      <c r="R65" s="2"/>
      <c r="S65" s="23"/>
    </row>
    <row r="66" spans="4:19" x14ac:dyDescent="0.2">
      <c r="D66" s="2"/>
      <c r="G66" s="2"/>
      <c r="M66" s="2"/>
      <c r="R66" s="2"/>
      <c r="S66" s="23"/>
    </row>
    <row r="67" spans="4:19" x14ac:dyDescent="0.2">
      <c r="D67" s="2"/>
      <c r="G67" s="2"/>
      <c r="M67" s="2"/>
      <c r="R67" s="2"/>
      <c r="S67" s="23"/>
    </row>
    <row r="68" spans="4:19" x14ac:dyDescent="0.2">
      <c r="D68" s="2"/>
      <c r="G68" s="2"/>
      <c r="M68" s="2"/>
      <c r="R68" s="2"/>
      <c r="S68" s="23"/>
    </row>
    <row r="69" spans="4:19" x14ac:dyDescent="0.2">
      <c r="D69" s="2"/>
      <c r="G69" s="2"/>
      <c r="M69" s="2"/>
      <c r="R69" s="2"/>
      <c r="S69" s="23"/>
    </row>
    <row r="70" spans="4:19" x14ac:dyDescent="0.2">
      <c r="D70" s="2"/>
      <c r="G70" s="2"/>
      <c r="M70" s="2"/>
      <c r="R70" s="2"/>
      <c r="S70" s="23"/>
    </row>
    <row r="71" spans="4:19" x14ac:dyDescent="0.2">
      <c r="D71" s="2"/>
      <c r="G71" s="2"/>
      <c r="M71" s="2"/>
      <c r="R71" s="2"/>
      <c r="S71" s="23"/>
    </row>
    <row r="72" spans="4:19" x14ac:dyDescent="0.2">
      <c r="D72" s="2"/>
      <c r="G72" s="2"/>
      <c r="M72" s="2"/>
      <c r="R72" s="2"/>
      <c r="S72" s="23"/>
    </row>
    <row r="73" spans="4:19" x14ac:dyDescent="0.2">
      <c r="D73" s="2"/>
      <c r="G73" s="2"/>
      <c r="M73" s="2"/>
      <c r="R73" s="2"/>
      <c r="S73" s="23"/>
    </row>
    <row r="74" spans="4:19" x14ac:dyDescent="0.2">
      <c r="D74" s="2"/>
      <c r="G74" s="2"/>
      <c r="M74" s="2"/>
      <c r="R74" s="2"/>
      <c r="S74" s="23"/>
    </row>
  </sheetData>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E0AB-B6E6-604B-B527-4DC118DE1454}">
  <dimension ref="A1:AL383"/>
  <sheetViews>
    <sheetView zoomScale="58" workbookViewId="0">
      <selection activeCell="T56" sqref="T56"/>
    </sheetView>
  </sheetViews>
  <sheetFormatPr baseColWidth="10" defaultColWidth="11" defaultRowHeight="16" x14ac:dyDescent="0.2"/>
  <cols>
    <col min="1" max="1" width="29.33203125" style="3" customWidth="1"/>
    <col min="2" max="2" width="18" customWidth="1"/>
    <col min="3" max="3" width="17.83203125" customWidth="1"/>
    <col min="4" max="4" width="24.1640625" customWidth="1"/>
    <col min="5" max="5" width="16.6640625" customWidth="1"/>
    <col min="6" max="6" width="22.6640625" customWidth="1"/>
    <col min="7" max="8" width="22.6640625" style="2" customWidth="1"/>
    <col min="9" max="9" width="15.33203125" style="2" customWidth="1"/>
    <col min="10" max="10" width="15.33203125" customWidth="1"/>
    <col min="11" max="11" width="15.83203125" customWidth="1"/>
    <col min="12" max="12" width="21.5" customWidth="1"/>
    <col min="13" max="13" width="12.5" customWidth="1"/>
    <col min="14" max="14" width="10.83203125" style="2"/>
    <col min="15" max="15" width="15" style="2" customWidth="1"/>
    <col min="16" max="16" width="18" customWidth="1"/>
    <col min="18" max="18" width="19.5" customWidth="1"/>
    <col min="19" max="19" width="14.33203125" style="2" customWidth="1"/>
    <col min="20" max="20" width="151.83203125" style="2" customWidth="1"/>
    <col min="21" max="21" width="117.83203125" customWidth="1"/>
    <col min="38" max="38" width="61.33203125" customWidth="1"/>
  </cols>
  <sheetData>
    <row r="1" spans="1:38" x14ac:dyDescent="0.2">
      <c r="B1" s="22"/>
      <c r="C1" s="89" t="s">
        <v>0</v>
      </c>
      <c r="D1" s="89"/>
      <c r="E1" s="89"/>
      <c r="F1" s="89"/>
      <c r="G1" s="11"/>
      <c r="H1" s="21"/>
      <c r="I1" s="97" t="s">
        <v>2</v>
      </c>
      <c r="J1" s="97"/>
      <c r="K1" s="97"/>
      <c r="L1" s="97"/>
      <c r="M1" s="97"/>
      <c r="N1" s="97"/>
      <c r="O1" s="100" t="s">
        <v>3</v>
      </c>
      <c r="P1" s="100"/>
      <c r="Q1" s="100"/>
      <c r="R1" s="100"/>
      <c r="S1" s="100"/>
      <c r="T1"/>
    </row>
    <row r="2" spans="1:38" s="1" customFormat="1" x14ac:dyDescent="0.2">
      <c r="A2" s="9" t="s">
        <v>7</v>
      </c>
      <c r="B2" s="1" t="s">
        <v>22</v>
      </c>
      <c r="C2" s="1" t="s">
        <v>8</v>
      </c>
      <c r="D2" s="1" t="s">
        <v>9</v>
      </c>
      <c r="E2" s="1" t="s">
        <v>10</v>
      </c>
      <c r="F2" s="1" t="s">
        <v>11</v>
      </c>
      <c r="G2" s="1" t="s">
        <v>13</v>
      </c>
      <c r="H2" s="4" t="s">
        <v>14</v>
      </c>
      <c r="I2" s="1" t="s">
        <v>15</v>
      </c>
      <c r="J2" s="1" t="s">
        <v>16</v>
      </c>
      <c r="K2" s="1" t="s">
        <v>17</v>
      </c>
      <c r="L2" s="1" t="s">
        <v>18</v>
      </c>
      <c r="M2" s="1" t="s">
        <v>19</v>
      </c>
      <c r="N2" s="4" t="s">
        <v>20</v>
      </c>
      <c r="O2" s="1" t="s">
        <v>21</v>
      </c>
      <c r="P2" s="1" t="s">
        <v>22</v>
      </c>
      <c r="Q2" s="1" t="s">
        <v>23</v>
      </c>
      <c r="R2" s="1" t="s">
        <v>24</v>
      </c>
      <c r="S2" s="4" t="s">
        <v>25</v>
      </c>
      <c r="T2" s="7" t="s">
        <v>4</v>
      </c>
      <c r="U2" s="7" t="s">
        <v>5</v>
      </c>
      <c r="V2" s="1" t="s">
        <v>26</v>
      </c>
      <c r="AL2" s="1" t="s">
        <v>27</v>
      </c>
    </row>
    <row r="3" spans="1:38" ht="15" customHeight="1" x14ac:dyDescent="0.2">
      <c r="A3" s="20" t="s">
        <v>214</v>
      </c>
      <c r="B3" s="6"/>
      <c r="D3">
        <v>232.9</v>
      </c>
      <c r="E3">
        <v>1850.3</v>
      </c>
      <c r="F3">
        <v>3578</v>
      </c>
      <c r="G3"/>
      <c r="I3" t="s">
        <v>239</v>
      </c>
      <c r="K3" t="s">
        <v>328</v>
      </c>
      <c r="L3" t="s">
        <v>51</v>
      </c>
      <c r="O3">
        <v>20.5</v>
      </c>
      <c r="P3" s="6">
        <v>38446.1</v>
      </c>
      <c r="Q3">
        <v>1.6069999999999999E-3</v>
      </c>
      <c r="R3">
        <v>39</v>
      </c>
      <c r="T3"/>
      <c r="U3" s="10" t="s">
        <v>218</v>
      </c>
    </row>
    <row r="4" spans="1:38" x14ac:dyDescent="0.2">
      <c r="A4" s="3" t="s">
        <v>29</v>
      </c>
      <c r="B4" s="5">
        <v>7000</v>
      </c>
      <c r="C4">
        <v>633.69899999999996</v>
      </c>
      <c r="E4">
        <v>1834.63</v>
      </c>
      <c r="G4"/>
      <c r="I4" t="s">
        <v>31</v>
      </c>
      <c r="K4" t="s">
        <v>32</v>
      </c>
      <c r="L4" t="s">
        <v>33</v>
      </c>
      <c r="M4">
        <v>8025</v>
      </c>
      <c r="N4" s="2" t="s">
        <v>34</v>
      </c>
      <c r="O4"/>
      <c r="P4" s="5">
        <v>7000</v>
      </c>
      <c r="S4" s="2" t="s">
        <v>35</v>
      </c>
      <c r="T4" t="s">
        <v>329</v>
      </c>
      <c r="U4" s="8" t="s">
        <v>37</v>
      </c>
      <c r="AL4" t="s">
        <v>330</v>
      </c>
    </row>
    <row r="5" spans="1:38" x14ac:dyDescent="0.2">
      <c r="A5" s="3" t="s">
        <v>39</v>
      </c>
      <c r="B5" s="5">
        <v>750000</v>
      </c>
      <c r="C5">
        <v>11.992000000000001</v>
      </c>
      <c r="G5"/>
      <c r="I5" t="s">
        <v>31</v>
      </c>
      <c r="K5" t="s">
        <v>35</v>
      </c>
      <c r="L5" t="s">
        <v>33</v>
      </c>
      <c r="O5">
        <v>20</v>
      </c>
      <c r="P5" s="5">
        <v>750000</v>
      </c>
      <c r="Q5">
        <v>8.8400000000000002E-4</v>
      </c>
      <c r="R5">
        <v>38</v>
      </c>
      <c r="T5" t="s">
        <v>331</v>
      </c>
      <c r="U5" t="s">
        <v>332</v>
      </c>
    </row>
    <row r="6" spans="1:38" x14ac:dyDescent="0.2">
      <c r="A6" s="20" t="s">
        <v>333</v>
      </c>
      <c r="B6" s="5">
        <v>13250</v>
      </c>
      <c r="C6">
        <v>75.575400000000002</v>
      </c>
      <c r="D6">
        <v>2522.39</v>
      </c>
      <c r="F6">
        <v>7967.82</v>
      </c>
      <c r="G6"/>
      <c r="I6" t="s">
        <v>154</v>
      </c>
      <c r="K6" t="s">
        <v>46</v>
      </c>
      <c r="L6" t="s">
        <v>51</v>
      </c>
      <c r="N6" s="2" t="s">
        <v>34</v>
      </c>
      <c r="O6">
        <v>21.8</v>
      </c>
      <c r="P6" s="5">
        <v>13250</v>
      </c>
      <c r="Q6">
        <v>1.9139999999999999E-3</v>
      </c>
      <c r="R6">
        <v>37</v>
      </c>
      <c r="T6" t="s">
        <v>334</v>
      </c>
      <c r="U6" s="10" t="s">
        <v>335</v>
      </c>
    </row>
    <row r="7" spans="1:38" x14ac:dyDescent="0.2">
      <c r="A7" s="3" t="s">
        <v>225</v>
      </c>
      <c r="C7">
        <v>312.55</v>
      </c>
      <c r="D7">
        <v>215.8</v>
      </c>
      <c r="E7">
        <v>969.85</v>
      </c>
      <c r="F7">
        <v>684.8</v>
      </c>
      <c r="G7"/>
      <c r="I7" t="s">
        <v>239</v>
      </c>
      <c r="K7" t="s">
        <v>328</v>
      </c>
      <c r="L7" t="s">
        <v>51</v>
      </c>
      <c r="O7"/>
      <c r="S7" s="2" t="s">
        <v>35</v>
      </c>
      <c r="T7" t="s">
        <v>336</v>
      </c>
      <c r="U7" t="s">
        <v>218</v>
      </c>
    </row>
    <row r="8" spans="1:38" x14ac:dyDescent="0.2">
      <c r="A8" s="3" t="s">
        <v>45</v>
      </c>
      <c r="B8" s="5">
        <v>61000</v>
      </c>
      <c r="C8">
        <v>220</v>
      </c>
      <c r="E8">
        <v>2109.5</v>
      </c>
      <c r="G8"/>
      <c r="I8" t="s">
        <v>31</v>
      </c>
      <c r="K8" t="s">
        <v>46</v>
      </c>
      <c r="N8" s="2" t="s">
        <v>34</v>
      </c>
      <c r="O8">
        <v>20.8</v>
      </c>
      <c r="P8" s="5">
        <v>61000</v>
      </c>
      <c r="R8">
        <v>39.299999999999997</v>
      </c>
      <c r="T8" t="s">
        <v>337</v>
      </c>
      <c r="U8" t="s">
        <v>48</v>
      </c>
    </row>
    <row r="9" spans="1:38" x14ac:dyDescent="0.2">
      <c r="A9" s="3" t="s">
        <v>58</v>
      </c>
      <c r="B9" s="5">
        <v>21667</v>
      </c>
      <c r="C9">
        <v>60.92</v>
      </c>
      <c r="E9">
        <v>459</v>
      </c>
      <c r="G9"/>
      <c r="I9" t="s">
        <v>239</v>
      </c>
      <c r="K9" t="s">
        <v>46</v>
      </c>
      <c r="L9" t="s">
        <v>33</v>
      </c>
      <c r="O9">
        <v>17.5</v>
      </c>
      <c r="P9" s="5">
        <v>21667</v>
      </c>
      <c r="Q9">
        <v>2.1559999999999999E-3</v>
      </c>
      <c r="T9" s="2" t="s">
        <v>59</v>
      </c>
      <c r="U9" s="8" t="s">
        <v>60</v>
      </c>
    </row>
    <row r="10" spans="1:38" x14ac:dyDescent="0.2">
      <c r="A10" s="3" t="s">
        <v>61</v>
      </c>
      <c r="B10">
        <v>728</v>
      </c>
      <c r="C10">
        <v>349.23</v>
      </c>
      <c r="G10"/>
      <c r="I10" t="s">
        <v>229</v>
      </c>
      <c r="K10" t="s">
        <v>35</v>
      </c>
      <c r="L10" t="s">
        <v>51</v>
      </c>
      <c r="M10">
        <v>992.8</v>
      </c>
      <c r="O10">
        <v>12</v>
      </c>
      <c r="P10">
        <v>728</v>
      </c>
      <c r="Q10">
        <v>3.333E-3</v>
      </c>
      <c r="R10">
        <v>39</v>
      </c>
      <c r="T10" t="s">
        <v>62</v>
      </c>
      <c r="U10" t="s">
        <v>63</v>
      </c>
    </row>
    <row r="11" spans="1:38" ht="17" customHeight="1" x14ac:dyDescent="0.2">
      <c r="A11" s="3" t="s">
        <v>238</v>
      </c>
      <c r="B11" s="5">
        <v>2175000</v>
      </c>
      <c r="C11">
        <v>4.0999999999999996</v>
      </c>
      <c r="D11">
        <v>8.6</v>
      </c>
      <c r="E11">
        <v>28.3</v>
      </c>
      <c r="F11">
        <v>27.2</v>
      </c>
      <c r="G11"/>
      <c r="I11" t="s">
        <v>239</v>
      </c>
      <c r="K11" t="s">
        <v>240</v>
      </c>
      <c r="L11" t="s">
        <v>51</v>
      </c>
      <c r="N11" s="2" t="s">
        <v>34</v>
      </c>
      <c r="O11">
        <v>45</v>
      </c>
      <c r="P11" s="5">
        <v>2175000</v>
      </c>
      <c r="T11"/>
      <c r="U11" t="s">
        <v>241</v>
      </c>
    </row>
    <row r="12" spans="1:38" x14ac:dyDescent="0.2">
      <c r="A12" s="20" t="s">
        <v>153</v>
      </c>
      <c r="B12" s="5">
        <v>200000</v>
      </c>
      <c r="C12">
        <v>30</v>
      </c>
      <c r="D12">
        <v>5.1319999999999997</v>
      </c>
      <c r="E12">
        <v>6.2914000000000003</v>
      </c>
      <c r="F12">
        <v>16.645</v>
      </c>
      <c r="G12"/>
      <c r="I12" t="s">
        <v>154</v>
      </c>
      <c r="K12" t="s">
        <v>46</v>
      </c>
      <c r="L12" t="s">
        <v>33</v>
      </c>
      <c r="O12">
        <v>31.5</v>
      </c>
      <c r="P12" s="5">
        <v>200000</v>
      </c>
      <c r="Q12">
        <v>1.678E-3</v>
      </c>
      <c r="R12">
        <v>35.200000000000003</v>
      </c>
      <c r="T12"/>
      <c r="U12" s="10" t="s">
        <v>155</v>
      </c>
    </row>
    <row r="13" spans="1:38" x14ac:dyDescent="0.2">
      <c r="A13" s="20" t="s">
        <v>219</v>
      </c>
      <c r="B13" s="5">
        <v>642.5</v>
      </c>
      <c r="G13"/>
      <c r="I13" t="s">
        <v>338</v>
      </c>
      <c r="K13" t="s">
        <v>46</v>
      </c>
      <c r="L13" t="s">
        <v>51</v>
      </c>
      <c r="M13">
        <v>550</v>
      </c>
      <c r="N13" s="2" t="s">
        <v>34</v>
      </c>
      <c r="O13">
        <v>17.2</v>
      </c>
      <c r="P13" s="5">
        <v>642.5</v>
      </c>
      <c r="Q13">
        <v>3.0000000000000001E-3</v>
      </c>
      <c r="R13">
        <v>34.700000000000003</v>
      </c>
      <c r="T13" t="s">
        <v>339</v>
      </c>
      <c r="U13" t="s">
        <v>340</v>
      </c>
    </row>
    <row r="14" spans="1:38" x14ac:dyDescent="0.2">
      <c r="A14" s="3" t="s">
        <v>188</v>
      </c>
      <c r="B14" s="5">
        <v>63000</v>
      </c>
      <c r="C14">
        <v>43.75</v>
      </c>
      <c r="E14">
        <v>744.95</v>
      </c>
      <c r="G14"/>
      <c r="I14" t="s">
        <v>279</v>
      </c>
      <c r="K14" t="s">
        <v>46</v>
      </c>
      <c r="L14" t="s">
        <v>33</v>
      </c>
      <c r="N14" s="2" t="s">
        <v>34</v>
      </c>
      <c r="O14">
        <v>41.1</v>
      </c>
      <c r="P14" s="5">
        <v>63000</v>
      </c>
      <c r="S14" s="2" t="s">
        <v>35</v>
      </c>
      <c r="T14" t="s">
        <v>341</v>
      </c>
      <c r="U14" s="8" t="s">
        <v>190</v>
      </c>
    </row>
    <row r="15" spans="1:38" x14ac:dyDescent="0.2">
      <c r="A15" s="3" t="s">
        <v>174</v>
      </c>
      <c r="B15" s="5">
        <v>1100000</v>
      </c>
      <c r="C15">
        <v>45.029000000000003</v>
      </c>
      <c r="E15">
        <v>105.90300000000001</v>
      </c>
      <c r="G15"/>
      <c r="I15" t="s">
        <v>154</v>
      </c>
      <c r="K15" t="s">
        <v>46</v>
      </c>
      <c r="L15" t="s">
        <v>51</v>
      </c>
      <c r="O15">
        <v>57</v>
      </c>
      <c r="P15" s="5">
        <v>1100000</v>
      </c>
      <c r="R15">
        <v>39</v>
      </c>
      <c r="T15" t="s">
        <v>175</v>
      </c>
      <c r="U15" t="s">
        <v>155</v>
      </c>
    </row>
    <row r="16" spans="1:38" x14ac:dyDescent="0.2">
      <c r="A16" s="20" t="s">
        <v>250</v>
      </c>
      <c r="B16" s="5">
        <v>300000</v>
      </c>
      <c r="G16"/>
      <c r="I16" t="s">
        <v>154</v>
      </c>
      <c r="K16" t="s">
        <v>157</v>
      </c>
      <c r="L16" t="s">
        <v>51</v>
      </c>
      <c r="O16">
        <v>57</v>
      </c>
      <c r="P16" s="5">
        <v>300000</v>
      </c>
      <c r="S16" s="2">
        <v>65000</v>
      </c>
      <c r="T16" t="s">
        <v>342</v>
      </c>
      <c r="U16" s="8" t="s">
        <v>252</v>
      </c>
      <c r="AL16" t="s">
        <v>343</v>
      </c>
    </row>
    <row r="17" spans="1:38" x14ac:dyDescent="0.2">
      <c r="A17" s="3" t="s">
        <v>253</v>
      </c>
      <c r="B17" s="5">
        <v>384000</v>
      </c>
      <c r="D17">
        <v>16.2</v>
      </c>
      <c r="F17">
        <v>25.1</v>
      </c>
      <c r="G17"/>
      <c r="I17" t="s">
        <v>31</v>
      </c>
      <c r="K17" t="s">
        <v>157</v>
      </c>
      <c r="L17" t="s">
        <v>51</v>
      </c>
      <c r="N17" s="2" t="s">
        <v>34</v>
      </c>
      <c r="O17">
        <v>31</v>
      </c>
      <c r="P17" s="5">
        <v>384000</v>
      </c>
      <c r="T17"/>
      <c r="U17" t="s">
        <v>254</v>
      </c>
    </row>
    <row r="18" spans="1:38" x14ac:dyDescent="0.2">
      <c r="A18" s="3" t="s">
        <v>219</v>
      </c>
      <c r="B18" s="5">
        <v>3900</v>
      </c>
      <c r="C18">
        <v>213.6</v>
      </c>
      <c r="D18">
        <v>354.7</v>
      </c>
      <c r="E18">
        <v>384.6</v>
      </c>
      <c r="F18">
        <v>544.5</v>
      </c>
      <c r="G18"/>
      <c r="I18" t="s">
        <v>239</v>
      </c>
      <c r="K18" t="s">
        <v>328</v>
      </c>
      <c r="L18" t="s">
        <v>51</v>
      </c>
      <c r="O18">
        <v>30</v>
      </c>
      <c r="P18" s="5">
        <v>3900</v>
      </c>
      <c r="R18">
        <v>38.1</v>
      </c>
      <c r="S18" s="2" t="s">
        <v>35</v>
      </c>
      <c r="T18"/>
      <c r="U18" t="s">
        <v>218</v>
      </c>
    </row>
    <row r="19" spans="1:38" x14ac:dyDescent="0.2">
      <c r="A19" s="3" t="s">
        <v>125</v>
      </c>
      <c r="D19">
        <v>1743.1</v>
      </c>
      <c r="G19"/>
      <c r="I19" t="s">
        <v>31</v>
      </c>
      <c r="K19" t="s">
        <v>46</v>
      </c>
      <c r="L19" t="s">
        <v>51</v>
      </c>
      <c r="N19" s="2" t="s">
        <v>126</v>
      </c>
      <c r="O19"/>
      <c r="T19" t="s">
        <v>127</v>
      </c>
      <c r="U19" s="10" t="s">
        <v>128</v>
      </c>
    </row>
    <row r="20" spans="1:38" x14ac:dyDescent="0.2">
      <c r="A20" s="3" t="s">
        <v>129</v>
      </c>
      <c r="B20" s="5">
        <v>30</v>
      </c>
      <c r="D20">
        <v>2842.33</v>
      </c>
      <c r="G20"/>
      <c r="I20" t="s">
        <v>31</v>
      </c>
      <c r="K20" t="s">
        <v>46</v>
      </c>
      <c r="L20" t="s">
        <v>51</v>
      </c>
      <c r="N20" s="2" t="s">
        <v>126</v>
      </c>
      <c r="O20">
        <v>5.9</v>
      </c>
      <c r="P20" s="5">
        <v>30</v>
      </c>
      <c r="Q20">
        <v>7.9799999999999992E-3</v>
      </c>
      <c r="R20">
        <v>37.200000000000003</v>
      </c>
      <c r="T20" t="s">
        <v>130</v>
      </c>
      <c r="U20" s="10" t="s">
        <v>128</v>
      </c>
    </row>
    <row r="21" spans="1:38" x14ac:dyDescent="0.2">
      <c r="A21" s="3" t="s">
        <v>131</v>
      </c>
      <c r="B21" s="5">
        <v>37</v>
      </c>
      <c r="D21">
        <v>1711.28</v>
      </c>
      <c r="G21"/>
      <c r="I21" s="2" t="s">
        <v>31</v>
      </c>
      <c r="K21" t="s">
        <v>46</v>
      </c>
      <c r="L21" t="s">
        <v>51</v>
      </c>
      <c r="N21" s="2" t="s">
        <v>126</v>
      </c>
      <c r="O21" s="2">
        <v>8.1999999999999993</v>
      </c>
      <c r="P21" s="5">
        <v>37</v>
      </c>
      <c r="Q21">
        <v>4.1840000000000002E-3</v>
      </c>
      <c r="R21">
        <v>36.1</v>
      </c>
      <c r="T21" s="2" t="s">
        <v>130</v>
      </c>
      <c r="U21" t="s">
        <v>128</v>
      </c>
    </row>
    <row r="22" spans="1:38" x14ac:dyDescent="0.2">
      <c r="A22" s="3" t="s">
        <v>104</v>
      </c>
      <c r="B22" s="5">
        <v>139842</v>
      </c>
      <c r="C22">
        <v>21.667000000000002</v>
      </c>
      <c r="D22">
        <v>58.332999999999998</v>
      </c>
      <c r="E22">
        <v>48.332999999999998</v>
      </c>
      <c r="F22">
        <v>140</v>
      </c>
      <c r="G22"/>
      <c r="I22" s="2" t="s">
        <v>239</v>
      </c>
      <c r="K22" t="s">
        <v>105</v>
      </c>
      <c r="L22" t="s">
        <v>33</v>
      </c>
      <c r="O22" s="2">
        <v>60.1</v>
      </c>
      <c r="P22" s="5">
        <v>139842</v>
      </c>
      <c r="S22" s="2" t="s">
        <v>35</v>
      </c>
      <c r="U22" s="8" t="s">
        <v>106</v>
      </c>
      <c r="AL22" t="s">
        <v>344</v>
      </c>
    </row>
    <row r="23" spans="1:38" x14ac:dyDescent="0.2">
      <c r="A23" s="3" t="s">
        <v>255</v>
      </c>
      <c r="B23" s="5">
        <v>46000</v>
      </c>
      <c r="C23">
        <v>97.421999999999997</v>
      </c>
      <c r="E23">
        <v>1981.5070000000001</v>
      </c>
      <c r="G23"/>
      <c r="I23" t="s">
        <v>154</v>
      </c>
      <c r="K23" t="s">
        <v>46</v>
      </c>
      <c r="L23" t="s">
        <v>33</v>
      </c>
      <c r="O23">
        <v>35.9</v>
      </c>
      <c r="P23" s="5">
        <v>46000</v>
      </c>
      <c r="R23">
        <v>38.1</v>
      </c>
      <c r="T23" t="s">
        <v>256</v>
      </c>
      <c r="U23" t="s">
        <v>155</v>
      </c>
    </row>
    <row r="24" spans="1:38" x14ac:dyDescent="0.2">
      <c r="A24" s="3" t="s">
        <v>49</v>
      </c>
      <c r="B24" s="5">
        <v>1600</v>
      </c>
      <c r="C24">
        <v>1054</v>
      </c>
      <c r="E24" s="5">
        <v>11130</v>
      </c>
      <c r="G24"/>
      <c r="I24" t="s">
        <v>31</v>
      </c>
      <c r="K24" t="s">
        <v>46</v>
      </c>
      <c r="L24" t="s">
        <v>51</v>
      </c>
      <c r="M24">
        <v>1500</v>
      </c>
      <c r="N24" s="2" t="s">
        <v>34</v>
      </c>
      <c r="O24"/>
      <c r="P24" s="5">
        <v>1600</v>
      </c>
      <c r="Q24">
        <v>4.1840000000000002E-3</v>
      </c>
      <c r="R24">
        <v>39.799999999999997</v>
      </c>
      <c r="T24"/>
      <c r="U24" s="8" t="s">
        <v>52</v>
      </c>
    </row>
    <row r="25" spans="1:38" x14ac:dyDescent="0.2">
      <c r="A25" s="3" t="s">
        <v>74</v>
      </c>
      <c r="B25" s="5">
        <v>4175</v>
      </c>
      <c r="C25">
        <v>60.6</v>
      </c>
      <c r="E25">
        <v>112.5</v>
      </c>
      <c r="G25"/>
      <c r="I25" s="2" t="s">
        <v>31</v>
      </c>
      <c r="K25" t="s">
        <v>46</v>
      </c>
      <c r="L25" t="s">
        <v>51</v>
      </c>
      <c r="N25" s="2" t="s">
        <v>34</v>
      </c>
      <c r="O25" s="2">
        <v>18</v>
      </c>
      <c r="P25" s="5">
        <v>4175</v>
      </c>
      <c r="Q25">
        <v>2.8010000000000001E-3</v>
      </c>
      <c r="R25">
        <v>39.700000000000003</v>
      </c>
      <c r="T25" s="2" t="s">
        <v>345</v>
      </c>
      <c r="U25" t="s">
        <v>76</v>
      </c>
    </row>
    <row r="26" spans="1:38" x14ac:dyDescent="0.2">
      <c r="A26" s="3" t="s">
        <v>257</v>
      </c>
      <c r="B26" s="5">
        <v>43000</v>
      </c>
      <c r="C26">
        <v>45.469000000000001</v>
      </c>
      <c r="E26">
        <v>228.89965000000001</v>
      </c>
      <c r="G26"/>
      <c r="I26" s="2" t="s">
        <v>154</v>
      </c>
      <c r="K26" t="s">
        <v>46</v>
      </c>
      <c r="L26" t="s">
        <v>51</v>
      </c>
      <c r="O26" s="2">
        <v>17.3</v>
      </c>
      <c r="P26" s="5">
        <v>43000</v>
      </c>
      <c r="S26" s="2" t="s">
        <v>35</v>
      </c>
      <c r="T26" s="2" t="s">
        <v>258</v>
      </c>
      <c r="U26" t="s">
        <v>155</v>
      </c>
    </row>
    <row r="27" spans="1:38" x14ac:dyDescent="0.2">
      <c r="A27" s="3" t="s">
        <v>191</v>
      </c>
      <c r="B27" s="5"/>
      <c r="E27">
        <v>1600</v>
      </c>
      <c r="G27"/>
      <c r="I27" s="2" t="s">
        <v>31</v>
      </c>
      <c r="K27" t="s">
        <v>46</v>
      </c>
      <c r="L27" t="s">
        <v>33</v>
      </c>
      <c r="N27" s="2" t="s">
        <v>346</v>
      </c>
      <c r="O27" s="2">
        <v>65</v>
      </c>
      <c r="P27" s="5">
        <v>4800000</v>
      </c>
      <c r="R27">
        <v>36.200000000000003</v>
      </c>
      <c r="S27" s="2" t="s">
        <v>35</v>
      </c>
      <c r="T27" s="2" t="s">
        <v>347</v>
      </c>
      <c r="U27" t="s">
        <v>348</v>
      </c>
    </row>
    <row r="28" spans="1:38" x14ac:dyDescent="0.2">
      <c r="A28" s="3" t="s">
        <v>167</v>
      </c>
      <c r="B28" s="5">
        <v>26500</v>
      </c>
      <c r="C28">
        <v>267.75</v>
      </c>
      <c r="E28">
        <v>4446</v>
      </c>
      <c r="G28"/>
      <c r="I28" t="s">
        <v>239</v>
      </c>
      <c r="K28" t="s">
        <v>46</v>
      </c>
      <c r="L28" t="s">
        <v>51</v>
      </c>
      <c r="N28" s="2" t="s">
        <v>169</v>
      </c>
      <c r="O28">
        <v>17</v>
      </c>
      <c r="P28" s="5">
        <v>26500</v>
      </c>
      <c r="Q28">
        <v>3.7729999999999999E-3</v>
      </c>
      <c r="T28" t="s">
        <v>170</v>
      </c>
      <c r="U28" t="s">
        <v>171</v>
      </c>
    </row>
    <row r="29" spans="1:38" x14ac:dyDescent="0.2">
      <c r="A29" s="20" t="s">
        <v>349</v>
      </c>
      <c r="B29" s="5">
        <v>10100</v>
      </c>
      <c r="G29"/>
      <c r="I29" t="s">
        <v>31</v>
      </c>
      <c r="K29" t="s">
        <v>46</v>
      </c>
      <c r="L29" t="s">
        <v>33</v>
      </c>
      <c r="N29" s="2" t="s">
        <v>34</v>
      </c>
      <c r="O29">
        <v>26.8</v>
      </c>
      <c r="P29" s="5">
        <v>10100</v>
      </c>
      <c r="T29" t="s">
        <v>350</v>
      </c>
      <c r="U29" t="s">
        <v>351</v>
      </c>
    </row>
    <row r="30" spans="1:38" x14ac:dyDescent="0.2">
      <c r="A30" s="3" t="s">
        <v>156</v>
      </c>
      <c r="B30">
        <v>11950</v>
      </c>
      <c r="C30">
        <v>51.505000000000003</v>
      </c>
      <c r="E30">
        <v>80.245000000000005</v>
      </c>
      <c r="G30"/>
      <c r="I30" t="s">
        <v>31</v>
      </c>
      <c r="K30" t="s">
        <v>157</v>
      </c>
      <c r="L30" t="s">
        <v>51</v>
      </c>
      <c r="O30">
        <v>28.4</v>
      </c>
      <c r="P30">
        <v>11950</v>
      </c>
      <c r="S30" s="2" t="s">
        <v>35</v>
      </c>
      <c r="T30" t="s">
        <v>158</v>
      </c>
      <c r="U30" s="8" t="s">
        <v>159</v>
      </c>
      <c r="AL30" t="s">
        <v>352</v>
      </c>
    </row>
    <row r="31" spans="1:38" ht="15" customHeight="1" x14ac:dyDescent="0.2">
      <c r="A31" s="3" t="s">
        <v>259</v>
      </c>
      <c r="B31" s="5">
        <v>3500</v>
      </c>
      <c r="D31">
        <v>132</v>
      </c>
      <c r="F31">
        <v>4417</v>
      </c>
      <c r="G31"/>
      <c r="I31" t="s">
        <v>154</v>
      </c>
      <c r="K31" t="s">
        <v>46</v>
      </c>
      <c r="L31" t="s">
        <v>51</v>
      </c>
      <c r="N31" s="2" t="s">
        <v>260</v>
      </c>
      <c r="O31">
        <v>21.2</v>
      </c>
      <c r="P31" s="5">
        <v>3500</v>
      </c>
      <c r="Q31">
        <v>2.0079999999999998E-3</v>
      </c>
      <c r="R31">
        <v>36.5</v>
      </c>
      <c r="T31" t="s">
        <v>261</v>
      </c>
      <c r="U31" t="s">
        <v>262</v>
      </c>
    </row>
    <row r="32" spans="1:38" x14ac:dyDescent="0.2">
      <c r="A32" s="3" t="s">
        <v>220</v>
      </c>
      <c r="B32" s="5">
        <v>100000</v>
      </c>
      <c r="C32">
        <v>48.7</v>
      </c>
      <c r="D32">
        <v>64.099999999999994</v>
      </c>
      <c r="E32">
        <v>1428.8</v>
      </c>
      <c r="F32">
        <v>666.5</v>
      </c>
      <c r="G32"/>
      <c r="I32" t="s">
        <v>239</v>
      </c>
      <c r="K32" t="s">
        <v>328</v>
      </c>
      <c r="L32" t="s">
        <v>51</v>
      </c>
      <c r="O32">
        <v>33.299999999999997</v>
      </c>
      <c r="P32" s="5">
        <v>100000</v>
      </c>
      <c r="Q32">
        <v>7.0299999999999996E-4</v>
      </c>
      <c r="T32"/>
      <c r="U32" s="8" t="s">
        <v>218</v>
      </c>
    </row>
    <row r="33" spans="1:38" x14ac:dyDescent="0.2">
      <c r="A33" s="3" t="s">
        <v>77</v>
      </c>
      <c r="B33">
        <v>105</v>
      </c>
      <c r="G33">
        <v>204.55</v>
      </c>
      <c r="H33" s="2">
        <v>346</v>
      </c>
      <c r="I33" t="s">
        <v>31</v>
      </c>
      <c r="K33" t="s">
        <v>46</v>
      </c>
      <c r="L33" t="s">
        <v>51</v>
      </c>
      <c r="N33" s="2" t="s">
        <v>34</v>
      </c>
      <c r="O33">
        <v>3.9</v>
      </c>
      <c r="P33">
        <v>105</v>
      </c>
      <c r="Q33">
        <v>6.3769999999999999E-3</v>
      </c>
      <c r="R33">
        <v>38.1</v>
      </c>
      <c r="T33" t="s">
        <v>78</v>
      </c>
      <c r="U33" t="s">
        <v>79</v>
      </c>
    </row>
    <row r="34" spans="1:38" x14ac:dyDescent="0.2">
      <c r="A34" s="3" t="s">
        <v>69</v>
      </c>
      <c r="B34">
        <v>64.8</v>
      </c>
      <c r="C34">
        <v>334</v>
      </c>
      <c r="D34">
        <v>138</v>
      </c>
      <c r="E34">
        <v>2512</v>
      </c>
      <c r="F34">
        <v>1006</v>
      </c>
      <c r="G34"/>
      <c r="I34" t="s">
        <v>239</v>
      </c>
      <c r="K34" t="s">
        <v>70</v>
      </c>
      <c r="L34" t="s">
        <v>51</v>
      </c>
      <c r="O34">
        <v>18.2</v>
      </c>
      <c r="P34">
        <v>64.8</v>
      </c>
      <c r="S34" s="2" t="s">
        <v>35</v>
      </c>
      <c r="T34" t="s">
        <v>71</v>
      </c>
      <c r="U34" s="8" t="s">
        <v>72</v>
      </c>
      <c r="AL34" t="s">
        <v>353</v>
      </c>
    </row>
    <row r="35" spans="1:38" x14ac:dyDescent="0.2">
      <c r="A35" s="3" t="s">
        <v>228</v>
      </c>
      <c r="B35" s="5">
        <v>12000</v>
      </c>
      <c r="C35">
        <v>47.548299999999998</v>
      </c>
      <c r="E35">
        <v>65.816100000000006</v>
      </c>
      <c r="G35"/>
      <c r="I35" t="s">
        <v>229</v>
      </c>
      <c r="K35" t="s">
        <v>230</v>
      </c>
      <c r="L35" t="s">
        <v>51</v>
      </c>
      <c r="N35" s="2" t="s">
        <v>231</v>
      </c>
      <c r="O35" s="5">
        <v>20</v>
      </c>
      <c r="P35" s="5">
        <v>12000</v>
      </c>
      <c r="R35" t="s">
        <v>35</v>
      </c>
      <c r="T35" t="s">
        <v>232</v>
      </c>
      <c r="U35" s="8" t="s">
        <v>233</v>
      </c>
      <c r="AL35" t="s">
        <v>354</v>
      </c>
    </row>
    <row r="36" spans="1:38" x14ac:dyDescent="0.2">
      <c r="A36" s="3" t="s">
        <v>203</v>
      </c>
      <c r="B36" s="5">
        <v>1332</v>
      </c>
      <c r="C36">
        <v>58.4</v>
      </c>
      <c r="D36">
        <v>1030</v>
      </c>
      <c r="E36">
        <v>104.2</v>
      </c>
      <c r="F36">
        <v>2120</v>
      </c>
      <c r="G36"/>
      <c r="I36" t="s">
        <v>31</v>
      </c>
      <c r="K36" t="s">
        <v>46</v>
      </c>
      <c r="L36" t="s">
        <v>51</v>
      </c>
      <c r="O36">
        <v>17.399999999999999</v>
      </c>
      <c r="P36" s="5">
        <v>1332</v>
      </c>
      <c r="T36" t="s">
        <v>205</v>
      </c>
      <c r="U36" t="s">
        <v>206</v>
      </c>
    </row>
    <row r="37" spans="1:38" x14ac:dyDescent="0.2">
      <c r="A37" s="3" t="s">
        <v>221</v>
      </c>
      <c r="B37" s="5">
        <v>1021</v>
      </c>
      <c r="C37">
        <v>170.1</v>
      </c>
      <c r="D37">
        <v>101.9</v>
      </c>
      <c r="E37">
        <v>324.60000000000002</v>
      </c>
      <c r="F37">
        <v>174.7</v>
      </c>
      <c r="G37"/>
      <c r="I37" t="s">
        <v>239</v>
      </c>
      <c r="K37" t="s">
        <v>328</v>
      </c>
      <c r="L37" t="s">
        <v>51</v>
      </c>
      <c r="O37">
        <v>9.4</v>
      </c>
      <c r="P37" s="5">
        <v>1021</v>
      </c>
      <c r="S37" s="2" t="s">
        <v>35</v>
      </c>
      <c r="T37"/>
      <c r="U37" t="s">
        <v>218</v>
      </c>
    </row>
    <row r="38" spans="1:38" x14ac:dyDescent="0.2">
      <c r="A38" s="3" t="s">
        <v>222</v>
      </c>
      <c r="B38" s="5">
        <v>19500</v>
      </c>
      <c r="C38">
        <v>248.8</v>
      </c>
      <c r="D38">
        <v>302.2</v>
      </c>
      <c r="E38">
        <v>1100.7</v>
      </c>
      <c r="F38">
        <v>1621.8</v>
      </c>
      <c r="G38"/>
      <c r="I38" t="s">
        <v>239</v>
      </c>
      <c r="K38" t="s">
        <v>328</v>
      </c>
      <c r="L38" t="s">
        <v>51</v>
      </c>
      <c r="O38">
        <v>19.8</v>
      </c>
      <c r="P38" s="5">
        <v>19500</v>
      </c>
      <c r="S38" s="2" t="s">
        <v>35</v>
      </c>
      <c r="T38"/>
      <c r="U38" t="s">
        <v>218</v>
      </c>
    </row>
    <row r="39" spans="1:38" x14ac:dyDescent="0.2">
      <c r="A39" s="3" t="s">
        <v>263</v>
      </c>
      <c r="B39">
        <v>235</v>
      </c>
      <c r="C39">
        <v>138.59800000000001</v>
      </c>
      <c r="E39">
        <v>272.02499999999998</v>
      </c>
      <c r="G39"/>
      <c r="I39" t="s">
        <v>154</v>
      </c>
      <c r="K39" t="s">
        <v>46</v>
      </c>
      <c r="L39" t="s">
        <v>51</v>
      </c>
      <c r="O39">
        <v>14</v>
      </c>
      <c r="P39">
        <v>235</v>
      </c>
      <c r="Q39">
        <v>4.7999999999999996E-3</v>
      </c>
      <c r="R39">
        <v>37.6</v>
      </c>
      <c r="T39"/>
      <c r="U39" s="10" t="s">
        <v>264</v>
      </c>
    </row>
    <row r="40" spans="1:38" x14ac:dyDescent="0.2">
      <c r="A40" s="3" t="s">
        <v>265</v>
      </c>
      <c r="B40" s="5">
        <v>177500</v>
      </c>
      <c r="C40">
        <v>83.043000000000006</v>
      </c>
      <c r="E40">
        <v>184.65899999999999</v>
      </c>
      <c r="G40"/>
      <c r="I40" t="s">
        <v>154</v>
      </c>
      <c r="K40" t="s">
        <v>46</v>
      </c>
      <c r="L40" t="s">
        <v>51</v>
      </c>
      <c r="O40">
        <v>27.5</v>
      </c>
      <c r="P40" s="5">
        <v>177500</v>
      </c>
      <c r="S40" s="2" t="s">
        <v>35</v>
      </c>
      <c r="T40" t="s">
        <v>258</v>
      </c>
      <c r="U40" t="s">
        <v>155</v>
      </c>
    </row>
    <row r="41" spans="1:38" x14ac:dyDescent="0.2">
      <c r="A41" s="3" t="s">
        <v>176</v>
      </c>
      <c r="B41" s="5">
        <v>1300</v>
      </c>
      <c r="C41">
        <v>25.683</v>
      </c>
      <c r="E41">
        <v>209.113</v>
      </c>
      <c r="G41"/>
      <c r="I41" t="s">
        <v>154</v>
      </c>
      <c r="K41" t="s">
        <v>157</v>
      </c>
      <c r="L41" t="s">
        <v>33</v>
      </c>
      <c r="N41" s="2" t="s">
        <v>177</v>
      </c>
      <c r="O41">
        <v>20</v>
      </c>
      <c r="P41" s="5">
        <v>1300</v>
      </c>
      <c r="Q41">
        <v>2.9889999999999999E-3</v>
      </c>
      <c r="T41" t="s">
        <v>178</v>
      </c>
      <c r="U41" s="8" t="s">
        <v>179</v>
      </c>
      <c r="AL41" t="s">
        <v>355</v>
      </c>
    </row>
    <row r="42" spans="1:38" x14ac:dyDescent="0.2">
      <c r="A42" s="20" t="s">
        <v>246</v>
      </c>
      <c r="B42" s="5"/>
      <c r="E42">
        <v>5.15</v>
      </c>
      <c r="G42"/>
      <c r="I42" t="s">
        <v>168</v>
      </c>
      <c r="K42" t="s">
        <v>247</v>
      </c>
      <c r="L42" t="s">
        <v>33</v>
      </c>
      <c r="N42" s="2" t="s">
        <v>34</v>
      </c>
      <c r="O42">
        <v>68</v>
      </c>
      <c r="P42" s="5">
        <v>44984</v>
      </c>
      <c r="S42" s="2" t="s">
        <v>35</v>
      </c>
      <c r="T42" t="s">
        <v>356</v>
      </c>
      <c r="U42" s="8" t="s">
        <v>249</v>
      </c>
      <c r="AL42" t="s">
        <v>357</v>
      </c>
    </row>
    <row r="43" spans="1:38" x14ac:dyDescent="0.2">
      <c r="A43" s="20" t="s">
        <v>184</v>
      </c>
      <c r="B43" s="5"/>
      <c r="E43">
        <v>2550</v>
      </c>
      <c r="G43"/>
      <c r="I43" t="s">
        <v>154</v>
      </c>
      <c r="K43" t="s">
        <v>46</v>
      </c>
      <c r="L43" t="s">
        <v>51</v>
      </c>
      <c r="N43" s="2" t="s">
        <v>34</v>
      </c>
      <c r="O43">
        <v>28</v>
      </c>
      <c r="P43" s="5">
        <v>81150</v>
      </c>
      <c r="Q43">
        <v>1.238E-3</v>
      </c>
      <c r="R43">
        <v>37</v>
      </c>
      <c r="T43" t="s">
        <v>358</v>
      </c>
      <c r="U43" t="s">
        <v>359</v>
      </c>
    </row>
    <row r="44" spans="1:38" x14ac:dyDescent="0.2">
      <c r="A44" s="3" t="s">
        <v>107</v>
      </c>
      <c r="B44" s="5">
        <v>119700</v>
      </c>
      <c r="C44">
        <v>101.455</v>
      </c>
      <c r="G44"/>
      <c r="I44" t="s">
        <v>31</v>
      </c>
      <c r="K44" t="s">
        <v>108</v>
      </c>
      <c r="L44" t="s">
        <v>51</v>
      </c>
      <c r="N44" s="2" t="s">
        <v>34</v>
      </c>
      <c r="O44" s="2">
        <v>26.3</v>
      </c>
      <c r="P44" s="5">
        <v>119700</v>
      </c>
      <c r="Q44">
        <v>9.7099999999999997E-4</v>
      </c>
      <c r="R44">
        <v>37.5</v>
      </c>
      <c r="T44" s="2" t="s">
        <v>109</v>
      </c>
      <c r="U44" t="s">
        <v>110</v>
      </c>
    </row>
    <row r="45" spans="1:38" x14ac:dyDescent="0.2">
      <c r="A45" s="3" t="s">
        <v>111</v>
      </c>
      <c r="B45" s="5">
        <v>119700</v>
      </c>
      <c r="C45">
        <v>101.44499999999999</v>
      </c>
      <c r="G45"/>
      <c r="I45" t="s">
        <v>31</v>
      </c>
      <c r="K45" t="s">
        <v>108</v>
      </c>
      <c r="L45" t="s">
        <v>51</v>
      </c>
      <c r="N45" s="2" t="s">
        <v>34</v>
      </c>
      <c r="O45">
        <v>26.3</v>
      </c>
      <c r="P45" s="5">
        <v>119700</v>
      </c>
      <c r="Q45">
        <v>9.7099999999999997E-4</v>
      </c>
      <c r="R45">
        <v>37.5</v>
      </c>
      <c r="T45" t="s">
        <v>109</v>
      </c>
      <c r="U45" t="s">
        <v>110</v>
      </c>
    </row>
    <row r="46" spans="1:38" x14ac:dyDescent="0.2">
      <c r="A46" s="3" t="s">
        <v>172</v>
      </c>
      <c r="G46"/>
      <c r="I46" t="s">
        <v>168</v>
      </c>
      <c r="K46" t="s">
        <v>46</v>
      </c>
      <c r="L46" t="s">
        <v>33</v>
      </c>
      <c r="O46"/>
      <c r="S46" s="2" t="s">
        <v>35</v>
      </c>
      <c r="T46" t="s">
        <v>173</v>
      </c>
      <c r="U46" t="s">
        <v>155</v>
      </c>
    </row>
    <row r="47" spans="1:38" x14ac:dyDescent="0.2">
      <c r="A47" s="3" t="s">
        <v>242</v>
      </c>
      <c r="B47" s="5">
        <v>18000</v>
      </c>
      <c r="C47">
        <v>63.3</v>
      </c>
      <c r="G47"/>
      <c r="I47" t="s">
        <v>239</v>
      </c>
      <c r="K47" t="s">
        <v>243</v>
      </c>
      <c r="L47" t="s">
        <v>51</v>
      </c>
      <c r="N47" s="2" t="s">
        <v>34</v>
      </c>
      <c r="O47" s="2">
        <v>37.5</v>
      </c>
      <c r="P47" s="5">
        <v>18000</v>
      </c>
      <c r="Q47">
        <v>1.665E-3</v>
      </c>
      <c r="T47" s="2" t="s">
        <v>244</v>
      </c>
      <c r="U47" s="8" t="s">
        <v>245</v>
      </c>
    </row>
    <row r="48" spans="1:38" x14ac:dyDescent="0.2">
      <c r="A48" s="3" t="s">
        <v>121</v>
      </c>
      <c r="B48" s="5">
        <v>20200</v>
      </c>
      <c r="C48">
        <v>35.9</v>
      </c>
      <c r="E48">
        <v>96.93</v>
      </c>
      <c r="G48"/>
      <c r="I48" t="s">
        <v>229</v>
      </c>
      <c r="K48" t="s">
        <v>46</v>
      </c>
      <c r="L48" t="s">
        <v>51</v>
      </c>
      <c r="M48">
        <v>23000</v>
      </c>
      <c r="N48" s="2" t="s">
        <v>34</v>
      </c>
      <c r="O48">
        <v>31.5</v>
      </c>
      <c r="P48" s="5">
        <v>20200</v>
      </c>
      <c r="Q48">
        <v>1.6180000000000001E-3</v>
      </c>
      <c r="R48">
        <v>37.5</v>
      </c>
      <c r="T48" s="2" t="s">
        <v>123</v>
      </c>
      <c r="U48" t="s">
        <v>124</v>
      </c>
    </row>
    <row r="49" spans="1:38" x14ac:dyDescent="0.2">
      <c r="A49" s="3" t="s">
        <v>132</v>
      </c>
      <c r="B49">
        <v>21</v>
      </c>
      <c r="D49">
        <v>1436.55</v>
      </c>
      <c r="F49">
        <v>2368.4699999999998</v>
      </c>
      <c r="G49"/>
      <c r="I49" t="s">
        <v>31</v>
      </c>
      <c r="K49" t="s">
        <v>46</v>
      </c>
      <c r="L49" t="s">
        <v>51</v>
      </c>
      <c r="M49" t="s">
        <v>133</v>
      </c>
      <c r="N49" s="2" t="s">
        <v>134</v>
      </c>
      <c r="O49">
        <v>8.3000000000000007</v>
      </c>
      <c r="P49">
        <v>21</v>
      </c>
      <c r="Q49">
        <v>1.0683E-2</v>
      </c>
      <c r="R49">
        <v>36.6</v>
      </c>
      <c r="T49" s="2" t="s">
        <v>135</v>
      </c>
      <c r="U49" t="s">
        <v>136</v>
      </c>
    </row>
    <row r="50" spans="1:38" x14ac:dyDescent="0.2">
      <c r="A50" s="3" t="s">
        <v>266</v>
      </c>
      <c r="B50" s="5">
        <v>101250</v>
      </c>
      <c r="G50">
        <v>60.66</v>
      </c>
      <c r="H50" s="2">
        <v>82.6</v>
      </c>
      <c r="I50" t="s">
        <v>154</v>
      </c>
      <c r="K50" t="s">
        <v>46</v>
      </c>
      <c r="L50" t="s">
        <v>51</v>
      </c>
      <c r="O50">
        <v>21.8</v>
      </c>
      <c r="P50" s="5">
        <v>101250</v>
      </c>
      <c r="Q50">
        <v>1.408E-3</v>
      </c>
      <c r="R50">
        <v>37.200000000000003</v>
      </c>
      <c r="T50" s="2" t="s">
        <v>267</v>
      </c>
      <c r="U50" s="10" t="s">
        <v>268</v>
      </c>
    </row>
    <row r="51" spans="1:38" x14ac:dyDescent="0.2">
      <c r="A51" s="3" t="s">
        <v>269</v>
      </c>
      <c r="B51" s="5">
        <v>101250</v>
      </c>
      <c r="G51">
        <v>41.3</v>
      </c>
      <c r="H51" s="2">
        <v>137.80000000000001</v>
      </c>
      <c r="I51" t="s">
        <v>154</v>
      </c>
      <c r="K51" t="s">
        <v>46</v>
      </c>
      <c r="L51" t="s">
        <v>51</v>
      </c>
      <c r="O51">
        <v>21.8</v>
      </c>
      <c r="P51" s="5">
        <v>101250</v>
      </c>
      <c r="Q51">
        <v>1.408E-3</v>
      </c>
      <c r="S51" s="2" t="s">
        <v>35</v>
      </c>
      <c r="T51" s="2" t="s">
        <v>270</v>
      </c>
      <c r="U51" s="8" t="s">
        <v>268</v>
      </c>
    </row>
    <row r="52" spans="1:38" x14ac:dyDescent="0.2">
      <c r="A52" s="3" t="s">
        <v>149</v>
      </c>
      <c r="C52">
        <v>263.02999999999997</v>
      </c>
      <c r="E52">
        <v>416.87</v>
      </c>
      <c r="G52"/>
      <c r="I52" t="s">
        <v>239</v>
      </c>
      <c r="K52" t="s">
        <v>150</v>
      </c>
      <c r="L52" t="s">
        <v>51</v>
      </c>
      <c r="M52">
        <v>630</v>
      </c>
      <c r="O52"/>
      <c r="S52" s="2" t="s">
        <v>35</v>
      </c>
      <c r="T52" s="2" t="s">
        <v>360</v>
      </c>
      <c r="U52" s="8" t="s">
        <v>152</v>
      </c>
      <c r="AL52" t="s">
        <v>361</v>
      </c>
    </row>
    <row r="53" spans="1:38" x14ac:dyDescent="0.2">
      <c r="A53" s="20" t="s">
        <v>180</v>
      </c>
      <c r="B53" s="5">
        <v>700000</v>
      </c>
      <c r="G53"/>
      <c r="I53" t="s">
        <v>362</v>
      </c>
      <c r="K53" t="s">
        <v>46</v>
      </c>
      <c r="L53" t="s">
        <v>51</v>
      </c>
      <c r="M53">
        <v>353500</v>
      </c>
      <c r="N53" s="2" t="s">
        <v>181</v>
      </c>
      <c r="O53">
        <v>32.799999999999997</v>
      </c>
      <c r="P53" s="5">
        <v>700000</v>
      </c>
      <c r="T53" s="2" t="s">
        <v>363</v>
      </c>
      <c r="U53" s="10" t="s">
        <v>183</v>
      </c>
    </row>
    <row r="54" spans="1:38" x14ac:dyDescent="0.2">
      <c r="A54" s="3" t="s">
        <v>364</v>
      </c>
      <c r="B54" s="5">
        <v>3500</v>
      </c>
      <c r="D54">
        <v>19.612500000000001</v>
      </c>
      <c r="F54">
        <v>99.033299999999997</v>
      </c>
      <c r="G54"/>
      <c r="I54" t="s">
        <v>31</v>
      </c>
      <c r="K54" t="s">
        <v>365</v>
      </c>
      <c r="L54" t="s">
        <v>51</v>
      </c>
      <c r="N54" s="2" t="s">
        <v>34</v>
      </c>
      <c r="O54">
        <v>49.5</v>
      </c>
      <c r="P54" s="5">
        <v>3500</v>
      </c>
      <c r="Q54">
        <v>8.0000000000000004E-4</v>
      </c>
      <c r="R54">
        <v>30.7</v>
      </c>
      <c r="T54" s="2" t="s">
        <v>366</v>
      </c>
      <c r="U54" t="s">
        <v>367</v>
      </c>
    </row>
    <row r="55" spans="1:38" x14ac:dyDescent="0.2">
      <c r="A55" s="20" t="s">
        <v>112</v>
      </c>
      <c r="B55" s="5">
        <v>1500</v>
      </c>
      <c r="C55">
        <v>642.1</v>
      </c>
      <c r="E55">
        <v>1379.3</v>
      </c>
      <c r="G55"/>
      <c r="I55" t="s">
        <v>31</v>
      </c>
      <c r="K55" t="s">
        <v>46</v>
      </c>
      <c r="L55" t="s">
        <v>51</v>
      </c>
      <c r="N55" s="2" t="s">
        <v>34</v>
      </c>
      <c r="O55" s="2">
        <v>36.799999999999997</v>
      </c>
      <c r="P55" s="5">
        <v>1500</v>
      </c>
      <c r="Q55">
        <v>1.01E-3</v>
      </c>
      <c r="R55">
        <v>33</v>
      </c>
      <c r="T55" s="2" t="s">
        <v>113</v>
      </c>
      <c r="U55" t="s">
        <v>114</v>
      </c>
    </row>
    <row r="56" spans="1:38" x14ac:dyDescent="0.2">
      <c r="A56" s="20" t="s">
        <v>368</v>
      </c>
      <c r="B56" s="5">
        <v>342.5</v>
      </c>
      <c r="E56">
        <v>34.308999999999997</v>
      </c>
      <c r="G56"/>
      <c r="I56" t="s">
        <v>154</v>
      </c>
      <c r="K56" t="s">
        <v>46</v>
      </c>
      <c r="L56" t="s">
        <v>51</v>
      </c>
      <c r="M56">
        <v>299.2</v>
      </c>
      <c r="N56" s="2" t="s">
        <v>369</v>
      </c>
      <c r="O56">
        <v>6</v>
      </c>
      <c r="P56" s="5">
        <v>342.5</v>
      </c>
      <c r="Q56">
        <v>2.9589999999999998E-3</v>
      </c>
      <c r="R56">
        <v>35.4</v>
      </c>
      <c r="T56" s="2" t="s">
        <v>370</v>
      </c>
    </row>
    <row r="57" spans="1:38" ht="17" customHeight="1" x14ac:dyDescent="0.2">
      <c r="A57" s="3" t="s">
        <v>271</v>
      </c>
      <c r="B57" s="5">
        <v>277500</v>
      </c>
      <c r="C57">
        <v>19.042999999999999</v>
      </c>
      <c r="E57">
        <v>112.455</v>
      </c>
      <c r="G57"/>
      <c r="I57" t="s">
        <v>154</v>
      </c>
      <c r="K57" t="s">
        <v>46</v>
      </c>
      <c r="L57" t="s">
        <v>51</v>
      </c>
      <c r="O57">
        <v>40</v>
      </c>
      <c r="P57" s="5">
        <v>277500</v>
      </c>
      <c r="R57">
        <v>37.299999999999997</v>
      </c>
      <c r="T57" s="2" t="s">
        <v>371</v>
      </c>
      <c r="U57" s="10" t="s">
        <v>273</v>
      </c>
    </row>
    <row r="58" spans="1:38" x14ac:dyDescent="0.2">
      <c r="A58" s="3" t="s">
        <v>223</v>
      </c>
      <c r="B58" s="5">
        <v>103750</v>
      </c>
      <c r="C58">
        <v>80.7</v>
      </c>
      <c r="D58">
        <v>45.1</v>
      </c>
      <c r="E58">
        <v>369.6</v>
      </c>
      <c r="F58">
        <v>212.8</v>
      </c>
      <c r="G58"/>
      <c r="I58" t="s">
        <v>239</v>
      </c>
      <c r="K58" t="s">
        <v>328</v>
      </c>
      <c r="L58" t="s">
        <v>51</v>
      </c>
      <c r="O58">
        <v>39.200000000000003</v>
      </c>
      <c r="P58" s="5">
        <v>103750</v>
      </c>
      <c r="R58">
        <v>37.5</v>
      </c>
      <c r="S58" s="2" t="s">
        <v>35</v>
      </c>
      <c r="T58" s="2" t="s">
        <v>224</v>
      </c>
      <c r="U58" s="8" t="s">
        <v>218</v>
      </c>
    </row>
    <row r="59" spans="1:38" x14ac:dyDescent="0.2">
      <c r="G59"/>
      <c r="I59"/>
      <c r="O59"/>
    </row>
    <row r="60" spans="1:38" x14ac:dyDescent="0.2">
      <c r="G60"/>
      <c r="I60"/>
      <c r="O60"/>
    </row>
    <row r="61" spans="1:38" x14ac:dyDescent="0.2">
      <c r="G61"/>
      <c r="I61"/>
      <c r="O61"/>
    </row>
    <row r="62" spans="1:38" x14ac:dyDescent="0.2">
      <c r="G62"/>
      <c r="I62"/>
      <c r="O62"/>
    </row>
    <row r="63" spans="1:38" x14ac:dyDescent="0.2">
      <c r="G63"/>
      <c r="I63"/>
      <c r="O63"/>
    </row>
    <row r="64" spans="1:38" x14ac:dyDescent="0.2">
      <c r="B64" s="5"/>
      <c r="G64"/>
      <c r="I64"/>
      <c r="O64"/>
      <c r="P64" s="5"/>
      <c r="U64" s="10"/>
    </row>
    <row r="65" spans="7:15" x14ac:dyDescent="0.2">
      <c r="G65"/>
      <c r="I65"/>
      <c r="O65"/>
    </row>
    <row r="66" spans="7:15" x14ac:dyDescent="0.2">
      <c r="G66"/>
      <c r="I66"/>
      <c r="O66"/>
    </row>
    <row r="67" spans="7:15" x14ac:dyDescent="0.2">
      <c r="G67"/>
    </row>
    <row r="68" spans="7:15" x14ac:dyDescent="0.2">
      <c r="G68"/>
      <c r="I68"/>
      <c r="O68"/>
    </row>
    <row r="69" spans="7:15" x14ac:dyDescent="0.2">
      <c r="G69"/>
      <c r="I69"/>
      <c r="O69"/>
    </row>
    <row r="70" spans="7:15" x14ac:dyDescent="0.2">
      <c r="G70"/>
      <c r="I70"/>
      <c r="O70"/>
    </row>
    <row r="71" spans="7:15" x14ac:dyDescent="0.2">
      <c r="G71"/>
      <c r="I71"/>
      <c r="O71"/>
    </row>
    <row r="72" spans="7:15" x14ac:dyDescent="0.2">
      <c r="G72"/>
      <c r="I72"/>
      <c r="O72"/>
    </row>
    <row r="73" spans="7:15" x14ac:dyDescent="0.2">
      <c r="G73"/>
      <c r="I73"/>
      <c r="O73"/>
    </row>
    <row r="74" spans="7:15" x14ac:dyDescent="0.2">
      <c r="G74"/>
      <c r="I74"/>
      <c r="O74"/>
    </row>
    <row r="75" spans="7:15" x14ac:dyDescent="0.2">
      <c r="G75"/>
      <c r="I75"/>
      <c r="O75"/>
    </row>
    <row r="76" spans="7:15" x14ac:dyDescent="0.2">
      <c r="G76"/>
      <c r="I76"/>
      <c r="O76"/>
    </row>
    <row r="77" spans="7:15" x14ac:dyDescent="0.2">
      <c r="G77"/>
      <c r="I77"/>
      <c r="O77"/>
    </row>
    <row r="78" spans="7:15" x14ac:dyDescent="0.2">
      <c r="G78"/>
      <c r="I78"/>
      <c r="O78"/>
    </row>
    <row r="79" spans="7:15" x14ac:dyDescent="0.2">
      <c r="G79"/>
      <c r="I79"/>
      <c r="O79"/>
    </row>
    <row r="80" spans="7:15" x14ac:dyDescent="0.2">
      <c r="G80"/>
      <c r="I80"/>
      <c r="O80"/>
    </row>
    <row r="81" spans="7:15" x14ac:dyDescent="0.2">
      <c r="G81"/>
      <c r="I81"/>
      <c r="O81"/>
    </row>
    <row r="82" spans="7:15" x14ac:dyDescent="0.2">
      <c r="G82"/>
      <c r="I82"/>
      <c r="O82"/>
    </row>
    <row r="83" spans="7:15" x14ac:dyDescent="0.2">
      <c r="G83"/>
      <c r="I83"/>
      <c r="O83"/>
    </row>
    <row r="84" spans="7:15" x14ac:dyDescent="0.2">
      <c r="G84"/>
      <c r="I84"/>
      <c r="O84"/>
    </row>
    <row r="85" spans="7:15" x14ac:dyDescent="0.2">
      <c r="G85"/>
      <c r="I85"/>
      <c r="O85"/>
    </row>
    <row r="86" spans="7:15" x14ac:dyDescent="0.2">
      <c r="G86"/>
      <c r="I86"/>
      <c r="O86"/>
    </row>
    <row r="87" spans="7:15" x14ac:dyDescent="0.2">
      <c r="G87"/>
      <c r="I87"/>
      <c r="O87"/>
    </row>
    <row r="88" spans="7:15" x14ac:dyDescent="0.2">
      <c r="G88"/>
      <c r="I88"/>
      <c r="O88"/>
    </row>
    <row r="89" spans="7:15" x14ac:dyDescent="0.2">
      <c r="G89"/>
      <c r="I89"/>
      <c r="O89"/>
    </row>
    <row r="90" spans="7:15" x14ac:dyDescent="0.2">
      <c r="G90"/>
      <c r="I90"/>
      <c r="O90"/>
    </row>
    <row r="91" spans="7:15" x14ac:dyDescent="0.2">
      <c r="G91"/>
      <c r="I91"/>
      <c r="O91"/>
    </row>
    <row r="92" spans="7:15" x14ac:dyDescent="0.2">
      <c r="G92"/>
      <c r="I92"/>
      <c r="O92"/>
    </row>
    <row r="93" spans="7:15" x14ac:dyDescent="0.2">
      <c r="G93"/>
      <c r="I93"/>
      <c r="O93"/>
    </row>
    <row r="94" spans="7:15" x14ac:dyDescent="0.2">
      <c r="G94"/>
      <c r="I94"/>
      <c r="O94"/>
    </row>
    <row r="95" spans="7:15" x14ac:dyDescent="0.2">
      <c r="G95"/>
      <c r="I95"/>
      <c r="O95"/>
    </row>
    <row r="96" spans="7:15" x14ac:dyDescent="0.2">
      <c r="G96"/>
      <c r="I96"/>
      <c r="O96"/>
    </row>
    <row r="97" spans="7:15" x14ac:dyDescent="0.2">
      <c r="G97"/>
      <c r="I97"/>
      <c r="O97"/>
    </row>
    <row r="98" spans="7:15" x14ac:dyDescent="0.2">
      <c r="G98"/>
      <c r="I98"/>
      <c r="O98"/>
    </row>
    <row r="99" spans="7:15" x14ac:dyDescent="0.2">
      <c r="G99"/>
      <c r="I99"/>
      <c r="O99"/>
    </row>
    <row r="100" spans="7:15" x14ac:dyDescent="0.2">
      <c r="G100"/>
      <c r="I100"/>
      <c r="O100"/>
    </row>
    <row r="101" spans="7:15" x14ac:dyDescent="0.2">
      <c r="G101"/>
      <c r="I101"/>
      <c r="O101"/>
    </row>
    <row r="102" spans="7:15" x14ac:dyDescent="0.2">
      <c r="G102"/>
      <c r="I102"/>
      <c r="O102"/>
    </row>
    <row r="103" spans="7:15" x14ac:dyDescent="0.2">
      <c r="G103"/>
      <c r="I103"/>
      <c r="O103"/>
    </row>
    <row r="104" spans="7:15" x14ac:dyDescent="0.2">
      <c r="G104"/>
      <c r="I104"/>
      <c r="O104"/>
    </row>
    <row r="105" spans="7:15" x14ac:dyDescent="0.2">
      <c r="G105"/>
      <c r="I105"/>
      <c r="O105"/>
    </row>
    <row r="106" spans="7:15" x14ac:dyDescent="0.2">
      <c r="G106"/>
      <c r="I106"/>
      <c r="O106"/>
    </row>
    <row r="107" spans="7:15" x14ac:dyDescent="0.2">
      <c r="G107"/>
      <c r="I107"/>
      <c r="O107"/>
    </row>
    <row r="108" spans="7:15" x14ac:dyDescent="0.2">
      <c r="G108"/>
      <c r="I108"/>
      <c r="O108"/>
    </row>
    <row r="109" spans="7:15" x14ac:dyDescent="0.2">
      <c r="G109"/>
      <c r="I109"/>
      <c r="O109"/>
    </row>
    <row r="110" spans="7:15" x14ac:dyDescent="0.2">
      <c r="G110"/>
      <c r="I110"/>
      <c r="O110"/>
    </row>
    <row r="111" spans="7:15" x14ac:dyDescent="0.2">
      <c r="G111"/>
      <c r="I111"/>
      <c r="O111"/>
    </row>
    <row r="112" spans="7:15" x14ac:dyDescent="0.2">
      <c r="G112"/>
      <c r="I112"/>
      <c r="O112"/>
    </row>
    <row r="113" spans="7:15" x14ac:dyDescent="0.2">
      <c r="G113"/>
      <c r="I113"/>
      <c r="O113"/>
    </row>
    <row r="114" spans="7:15" x14ac:dyDescent="0.2">
      <c r="G114"/>
      <c r="I114"/>
      <c r="O114"/>
    </row>
    <row r="115" spans="7:15" x14ac:dyDescent="0.2">
      <c r="G115"/>
      <c r="I115"/>
      <c r="O115"/>
    </row>
    <row r="116" spans="7:15" x14ac:dyDescent="0.2">
      <c r="G116"/>
      <c r="I116"/>
      <c r="O116"/>
    </row>
    <row r="117" spans="7:15" x14ac:dyDescent="0.2">
      <c r="G117"/>
      <c r="I117"/>
      <c r="O117"/>
    </row>
    <row r="118" spans="7:15" x14ac:dyDescent="0.2">
      <c r="G118"/>
      <c r="I118"/>
      <c r="O118"/>
    </row>
    <row r="119" spans="7:15" x14ac:dyDescent="0.2">
      <c r="G119"/>
      <c r="I119"/>
      <c r="O119"/>
    </row>
    <row r="120" spans="7:15" x14ac:dyDescent="0.2">
      <c r="G120"/>
      <c r="I120"/>
      <c r="O120"/>
    </row>
    <row r="121" spans="7:15" x14ac:dyDescent="0.2">
      <c r="G121"/>
      <c r="I121"/>
      <c r="O121"/>
    </row>
    <row r="122" spans="7:15" x14ac:dyDescent="0.2">
      <c r="G122"/>
      <c r="I122"/>
      <c r="O122"/>
    </row>
    <row r="123" spans="7:15" x14ac:dyDescent="0.2">
      <c r="G123"/>
      <c r="I123"/>
      <c r="O123"/>
    </row>
    <row r="124" spans="7:15" x14ac:dyDescent="0.2">
      <c r="G124"/>
      <c r="I124"/>
      <c r="O124"/>
    </row>
    <row r="125" spans="7:15" x14ac:dyDescent="0.2">
      <c r="G125"/>
      <c r="I125"/>
      <c r="O125"/>
    </row>
    <row r="126" spans="7:15" x14ac:dyDescent="0.2">
      <c r="G126"/>
      <c r="I126"/>
      <c r="O126"/>
    </row>
    <row r="127" spans="7:15" x14ac:dyDescent="0.2">
      <c r="G127"/>
      <c r="I127"/>
      <c r="O127"/>
    </row>
    <row r="128" spans="7:15" x14ac:dyDescent="0.2">
      <c r="G128"/>
      <c r="I128"/>
      <c r="O128"/>
    </row>
    <row r="129" spans="7:15" x14ac:dyDescent="0.2">
      <c r="G129"/>
      <c r="I129"/>
      <c r="O129"/>
    </row>
    <row r="130" spans="7:15" x14ac:dyDescent="0.2">
      <c r="G130"/>
      <c r="I130"/>
      <c r="O130"/>
    </row>
    <row r="131" spans="7:15" x14ac:dyDescent="0.2">
      <c r="G131"/>
      <c r="I131"/>
      <c r="O131"/>
    </row>
    <row r="132" spans="7:15" x14ac:dyDescent="0.2">
      <c r="G132"/>
      <c r="I132"/>
      <c r="O132"/>
    </row>
    <row r="133" spans="7:15" x14ac:dyDescent="0.2">
      <c r="G133"/>
      <c r="I133"/>
      <c r="O133"/>
    </row>
    <row r="134" spans="7:15" x14ac:dyDescent="0.2">
      <c r="G134"/>
      <c r="I134"/>
      <c r="O134"/>
    </row>
    <row r="135" spans="7:15" x14ac:dyDescent="0.2">
      <c r="G135"/>
      <c r="I135"/>
      <c r="O135"/>
    </row>
    <row r="136" spans="7:15" x14ac:dyDescent="0.2">
      <c r="G136"/>
      <c r="I136"/>
      <c r="O136"/>
    </row>
    <row r="137" spans="7:15" x14ac:dyDescent="0.2">
      <c r="G137"/>
      <c r="I137"/>
      <c r="O137"/>
    </row>
    <row r="138" spans="7:15" x14ac:dyDescent="0.2">
      <c r="G138"/>
      <c r="I138"/>
      <c r="O138"/>
    </row>
    <row r="139" spans="7:15" x14ac:dyDescent="0.2">
      <c r="G139"/>
      <c r="I139"/>
      <c r="O139"/>
    </row>
    <row r="140" spans="7:15" x14ac:dyDescent="0.2">
      <c r="G140"/>
      <c r="I140"/>
      <c r="O140"/>
    </row>
    <row r="141" spans="7:15" x14ac:dyDescent="0.2">
      <c r="G141"/>
      <c r="I141"/>
      <c r="O141"/>
    </row>
    <row r="142" spans="7:15" x14ac:dyDescent="0.2">
      <c r="G142"/>
      <c r="I142"/>
      <c r="O142"/>
    </row>
    <row r="143" spans="7:15" x14ac:dyDescent="0.2">
      <c r="G143"/>
      <c r="I143"/>
      <c r="O143"/>
    </row>
    <row r="144" spans="7:15" x14ac:dyDescent="0.2">
      <c r="G144"/>
      <c r="I144"/>
      <c r="O144"/>
    </row>
    <row r="145" spans="7:15" x14ac:dyDescent="0.2">
      <c r="G145"/>
      <c r="I145"/>
      <c r="O145"/>
    </row>
    <row r="146" spans="7:15" x14ac:dyDescent="0.2">
      <c r="G146"/>
      <c r="I146"/>
      <c r="O146"/>
    </row>
    <row r="147" spans="7:15" x14ac:dyDescent="0.2">
      <c r="G147"/>
      <c r="I147"/>
      <c r="O147"/>
    </row>
    <row r="148" spans="7:15" x14ac:dyDescent="0.2">
      <c r="G148"/>
      <c r="I148"/>
      <c r="O148"/>
    </row>
    <row r="149" spans="7:15" x14ac:dyDescent="0.2">
      <c r="G149"/>
      <c r="I149"/>
      <c r="O149"/>
    </row>
    <row r="150" spans="7:15" x14ac:dyDescent="0.2">
      <c r="G150"/>
      <c r="I150"/>
      <c r="O150"/>
    </row>
    <row r="151" spans="7:15" x14ac:dyDescent="0.2">
      <c r="G151"/>
      <c r="I151"/>
      <c r="O151"/>
    </row>
    <row r="152" spans="7:15" x14ac:dyDescent="0.2">
      <c r="G152"/>
      <c r="I152"/>
      <c r="O152"/>
    </row>
    <row r="153" spans="7:15" x14ac:dyDescent="0.2">
      <c r="G153"/>
      <c r="I153"/>
      <c r="O153"/>
    </row>
    <row r="154" spans="7:15" x14ac:dyDescent="0.2">
      <c r="G154"/>
      <c r="I154"/>
      <c r="O154"/>
    </row>
    <row r="155" spans="7:15" x14ac:dyDescent="0.2">
      <c r="G155"/>
      <c r="I155"/>
      <c r="O155"/>
    </row>
    <row r="156" spans="7:15" x14ac:dyDescent="0.2">
      <c r="G156"/>
      <c r="I156"/>
      <c r="O156"/>
    </row>
    <row r="157" spans="7:15" x14ac:dyDescent="0.2">
      <c r="G157"/>
      <c r="I157"/>
      <c r="O157"/>
    </row>
    <row r="158" spans="7:15" x14ac:dyDescent="0.2">
      <c r="G158"/>
      <c r="I158"/>
      <c r="O158"/>
    </row>
    <row r="159" spans="7:15" x14ac:dyDescent="0.2">
      <c r="G159"/>
      <c r="I159"/>
      <c r="O159"/>
    </row>
    <row r="160" spans="7:15" x14ac:dyDescent="0.2">
      <c r="G160"/>
      <c r="I160"/>
      <c r="O160"/>
    </row>
    <row r="161" spans="7:15" x14ac:dyDescent="0.2">
      <c r="G161"/>
      <c r="I161"/>
      <c r="O161"/>
    </row>
    <row r="162" spans="7:15" x14ac:dyDescent="0.2">
      <c r="G162"/>
      <c r="I162"/>
      <c r="O162"/>
    </row>
    <row r="163" spans="7:15" x14ac:dyDescent="0.2">
      <c r="G163"/>
      <c r="I163"/>
      <c r="O163"/>
    </row>
    <row r="164" spans="7:15" x14ac:dyDescent="0.2">
      <c r="G164"/>
      <c r="I164"/>
      <c r="O164"/>
    </row>
    <row r="165" spans="7:15" x14ac:dyDescent="0.2">
      <c r="G165"/>
      <c r="I165"/>
      <c r="O165"/>
    </row>
    <row r="166" spans="7:15" x14ac:dyDescent="0.2">
      <c r="G166"/>
      <c r="I166"/>
      <c r="O166"/>
    </row>
    <row r="167" spans="7:15" x14ac:dyDescent="0.2">
      <c r="G167"/>
      <c r="I167"/>
      <c r="O167"/>
    </row>
    <row r="168" spans="7:15" x14ac:dyDescent="0.2">
      <c r="G168"/>
      <c r="I168"/>
      <c r="O168"/>
    </row>
    <row r="169" spans="7:15" x14ac:dyDescent="0.2">
      <c r="G169"/>
      <c r="I169"/>
      <c r="O169"/>
    </row>
    <row r="170" spans="7:15" x14ac:dyDescent="0.2">
      <c r="G170"/>
      <c r="I170"/>
      <c r="O170"/>
    </row>
    <row r="171" spans="7:15" x14ac:dyDescent="0.2">
      <c r="G171"/>
      <c r="I171"/>
      <c r="O171"/>
    </row>
    <row r="172" spans="7:15" x14ac:dyDescent="0.2">
      <c r="G172"/>
      <c r="I172"/>
      <c r="O172"/>
    </row>
    <row r="173" spans="7:15" x14ac:dyDescent="0.2">
      <c r="G173"/>
      <c r="I173"/>
      <c r="O173"/>
    </row>
    <row r="174" spans="7:15" x14ac:dyDescent="0.2">
      <c r="G174"/>
      <c r="I174"/>
      <c r="O174"/>
    </row>
    <row r="175" spans="7:15" x14ac:dyDescent="0.2">
      <c r="G175"/>
      <c r="I175"/>
      <c r="O175"/>
    </row>
    <row r="176" spans="7:15" x14ac:dyDescent="0.2">
      <c r="G176"/>
      <c r="I176"/>
      <c r="O176"/>
    </row>
    <row r="177" spans="7:15" x14ac:dyDescent="0.2">
      <c r="G177"/>
      <c r="I177"/>
      <c r="O177"/>
    </row>
    <row r="178" spans="7:15" x14ac:dyDescent="0.2">
      <c r="G178"/>
      <c r="I178"/>
      <c r="O178"/>
    </row>
    <row r="179" spans="7:15" x14ac:dyDescent="0.2">
      <c r="G179"/>
      <c r="I179"/>
      <c r="O179"/>
    </row>
    <row r="180" spans="7:15" x14ac:dyDescent="0.2">
      <c r="G180"/>
      <c r="I180"/>
      <c r="O180"/>
    </row>
    <row r="181" spans="7:15" x14ac:dyDescent="0.2">
      <c r="G181"/>
      <c r="I181"/>
      <c r="O181"/>
    </row>
    <row r="182" spans="7:15" x14ac:dyDescent="0.2">
      <c r="G182"/>
      <c r="I182"/>
      <c r="O182"/>
    </row>
    <row r="183" spans="7:15" x14ac:dyDescent="0.2">
      <c r="G183"/>
      <c r="I183"/>
      <c r="O183"/>
    </row>
    <row r="184" spans="7:15" x14ac:dyDescent="0.2">
      <c r="G184"/>
      <c r="I184"/>
      <c r="O184"/>
    </row>
    <row r="185" spans="7:15" x14ac:dyDescent="0.2">
      <c r="G185"/>
      <c r="I185"/>
      <c r="O185"/>
    </row>
    <row r="186" spans="7:15" x14ac:dyDescent="0.2">
      <c r="G186"/>
      <c r="I186"/>
      <c r="O186"/>
    </row>
    <row r="187" spans="7:15" x14ac:dyDescent="0.2">
      <c r="G187"/>
      <c r="I187"/>
      <c r="O187"/>
    </row>
    <row r="188" spans="7:15" x14ac:dyDescent="0.2">
      <c r="G188"/>
      <c r="I188"/>
      <c r="O188"/>
    </row>
    <row r="189" spans="7:15" x14ac:dyDescent="0.2">
      <c r="G189"/>
      <c r="I189"/>
      <c r="O189"/>
    </row>
    <row r="190" spans="7:15" x14ac:dyDescent="0.2">
      <c r="G190"/>
      <c r="I190"/>
      <c r="O190"/>
    </row>
    <row r="191" spans="7:15" x14ac:dyDescent="0.2">
      <c r="G191"/>
      <c r="I191"/>
      <c r="O191"/>
    </row>
    <row r="192" spans="7:15" x14ac:dyDescent="0.2">
      <c r="G192"/>
      <c r="I192"/>
      <c r="O192"/>
    </row>
    <row r="193" spans="7:15" x14ac:dyDescent="0.2">
      <c r="G193"/>
      <c r="I193"/>
      <c r="O193"/>
    </row>
    <row r="194" spans="7:15" x14ac:dyDescent="0.2">
      <c r="G194"/>
      <c r="I194"/>
      <c r="O194"/>
    </row>
    <row r="195" spans="7:15" x14ac:dyDescent="0.2">
      <c r="G195"/>
      <c r="I195"/>
      <c r="O195"/>
    </row>
    <row r="196" spans="7:15" x14ac:dyDescent="0.2">
      <c r="G196"/>
      <c r="I196"/>
      <c r="O196"/>
    </row>
    <row r="197" spans="7:15" x14ac:dyDescent="0.2">
      <c r="G197"/>
      <c r="I197"/>
      <c r="O197"/>
    </row>
    <row r="198" spans="7:15" x14ac:dyDescent="0.2">
      <c r="G198"/>
      <c r="I198"/>
      <c r="O198"/>
    </row>
    <row r="199" spans="7:15" x14ac:dyDescent="0.2">
      <c r="G199"/>
      <c r="I199"/>
      <c r="O199"/>
    </row>
    <row r="200" spans="7:15" x14ac:dyDescent="0.2">
      <c r="G200"/>
      <c r="I200"/>
      <c r="O200"/>
    </row>
    <row r="201" spans="7:15" x14ac:dyDescent="0.2">
      <c r="G201"/>
      <c r="I201"/>
      <c r="O201"/>
    </row>
    <row r="202" spans="7:15" x14ac:dyDescent="0.2">
      <c r="G202"/>
      <c r="I202"/>
      <c r="O202"/>
    </row>
    <row r="203" spans="7:15" x14ac:dyDescent="0.2">
      <c r="G203"/>
      <c r="I203"/>
      <c r="O203"/>
    </row>
    <row r="204" spans="7:15" x14ac:dyDescent="0.2">
      <c r="G204"/>
      <c r="I204"/>
      <c r="O204"/>
    </row>
    <row r="205" spans="7:15" x14ac:dyDescent="0.2">
      <c r="G205"/>
      <c r="I205"/>
      <c r="O205"/>
    </row>
    <row r="206" spans="7:15" x14ac:dyDescent="0.2">
      <c r="G206"/>
      <c r="I206"/>
      <c r="O206"/>
    </row>
    <row r="207" spans="7:15" x14ac:dyDescent="0.2">
      <c r="G207"/>
      <c r="I207"/>
      <c r="O207"/>
    </row>
    <row r="208" spans="7:15" x14ac:dyDescent="0.2">
      <c r="G208"/>
      <c r="I208"/>
      <c r="O208"/>
    </row>
    <row r="209" spans="7:15" x14ac:dyDescent="0.2">
      <c r="G209"/>
      <c r="I209"/>
      <c r="O209"/>
    </row>
    <row r="210" spans="7:15" x14ac:dyDescent="0.2">
      <c r="G210"/>
      <c r="I210"/>
      <c r="O210"/>
    </row>
    <row r="211" spans="7:15" x14ac:dyDescent="0.2">
      <c r="G211"/>
      <c r="I211"/>
      <c r="O211"/>
    </row>
    <row r="212" spans="7:15" x14ac:dyDescent="0.2">
      <c r="G212"/>
      <c r="I212"/>
      <c r="O212"/>
    </row>
    <row r="213" spans="7:15" x14ac:dyDescent="0.2">
      <c r="G213"/>
      <c r="I213"/>
      <c r="O213"/>
    </row>
    <row r="214" spans="7:15" x14ac:dyDescent="0.2">
      <c r="G214"/>
      <c r="I214"/>
      <c r="O214"/>
    </row>
    <row r="215" spans="7:15" x14ac:dyDescent="0.2">
      <c r="G215"/>
      <c r="I215"/>
      <c r="O215"/>
    </row>
    <row r="216" spans="7:15" x14ac:dyDescent="0.2">
      <c r="G216"/>
      <c r="I216"/>
      <c r="O216"/>
    </row>
    <row r="217" spans="7:15" x14ac:dyDescent="0.2">
      <c r="G217"/>
      <c r="I217"/>
      <c r="O217"/>
    </row>
    <row r="218" spans="7:15" x14ac:dyDescent="0.2">
      <c r="G218"/>
      <c r="I218"/>
      <c r="O218"/>
    </row>
    <row r="219" spans="7:15" x14ac:dyDescent="0.2">
      <c r="G219"/>
      <c r="I219"/>
      <c r="O219"/>
    </row>
    <row r="220" spans="7:15" x14ac:dyDescent="0.2">
      <c r="G220"/>
      <c r="I220"/>
      <c r="O220"/>
    </row>
    <row r="221" spans="7:15" x14ac:dyDescent="0.2">
      <c r="G221"/>
      <c r="I221"/>
      <c r="O221"/>
    </row>
    <row r="222" spans="7:15" x14ac:dyDescent="0.2">
      <c r="G222"/>
      <c r="I222"/>
      <c r="O222"/>
    </row>
    <row r="223" spans="7:15" x14ac:dyDescent="0.2">
      <c r="G223"/>
      <c r="I223"/>
      <c r="O223"/>
    </row>
    <row r="224" spans="7:15" x14ac:dyDescent="0.2">
      <c r="G224"/>
      <c r="I224"/>
      <c r="O224"/>
    </row>
    <row r="225" spans="7:15" x14ac:dyDescent="0.2">
      <c r="G225"/>
      <c r="I225"/>
      <c r="O225"/>
    </row>
    <row r="226" spans="7:15" x14ac:dyDescent="0.2">
      <c r="G226"/>
      <c r="I226"/>
      <c r="O226"/>
    </row>
    <row r="227" spans="7:15" x14ac:dyDescent="0.2">
      <c r="G227"/>
      <c r="I227"/>
      <c r="O227"/>
    </row>
    <row r="228" spans="7:15" x14ac:dyDescent="0.2">
      <c r="G228"/>
      <c r="I228"/>
      <c r="O228"/>
    </row>
    <row r="229" spans="7:15" x14ac:dyDescent="0.2">
      <c r="G229"/>
      <c r="I229"/>
      <c r="O229"/>
    </row>
    <row r="230" spans="7:15" x14ac:dyDescent="0.2">
      <c r="G230"/>
      <c r="I230"/>
      <c r="O230"/>
    </row>
    <row r="231" spans="7:15" x14ac:dyDescent="0.2">
      <c r="G231"/>
      <c r="I231"/>
      <c r="O231"/>
    </row>
    <row r="232" spans="7:15" x14ac:dyDescent="0.2">
      <c r="G232"/>
      <c r="I232"/>
      <c r="O232"/>
    </row>
    <row r="233" spans="7:15" x14ac:dyDescent="0.2">
      <c r="G233"/>
      <c r="I233"/>
      <c r="O233"/>
    </row>
    <row r="234" spans="7:15" x14ac:dyDescent="0.2">
      <c r="G234"/>
      <c r="I234"/>
      <c r="O234"/>
    </row>
    <row r="235" spans="7:15" x14ac:dyDescent="0.2">
      <c r="G235"/>
      <c r="I235"/>
      <c r="O235"/>
    </row>
    <row r="236" spans="7:15" x14ac:dyDescent="0.2">
      <c r="G236"/>
      <c r="I236"/>
      <c r="O236"/>
    </row>
    <row r="237" spans="7:15" x14ac:dyDescent="0.2">
      <c r="G237"/>
      <c r="I237"/>
      <c r="O237"/>
    </row>
    <row r="238" spans="7:15" x14ac:dyDescent="0.2">
      <c r="G238"/>
      <c r="I238"/>
      <c r="O238"/>
    </row>
    <row r="239" spans="7:15" x14ac:dyDescent="0.2">
      <c r="G239"/>
      <c r="I239"/>
      <c r="O239"/>
    </row>
    <row r="240" spans="7:15" x14ac:dyDescent="0.2">
      <c r="G240"/>
      <c r="I240"/>
      <c r="O240"/>
    </row>
    <row r="241" spans="7:15" x14ac:dyDescent="0.2">
      <c r="G241"/>
      <c r="I241"/>
      <c r="O241"/>
    </row>
    <row r="242" spans="7:15" x14ac:dyDescent="0.2">
      <c r="G242"/>
      <c r="I242"/>
      <c r="O242"/>
    </row>
    <row r="243" spans="7:15" x14ac:dyDescent="0.2">
      <c r="G243"/>
      <c r="I243"/>
      <c r="O243"/>
    </row>
    <row r="244" spans="7:15" x14ac:dyDescent="0.2">
      <c r="G244"/>
      <c r="I244"/>
      <c r="O244"/>
    </row>
    <row r="245" spans="7:15" x14ac:dyDescent="0.2">
      <c r="G245"/>
      <c r="I245"/>
      <c r="O245"/>
    </row>
    <row r="246" spans="7:15" x14ac:dyDescent="0.2">
      <c r="G246"/>
      <c r="I246"/>
      <c r="O246"/>
    </row>
    <row r="247" spans="7:15" x14ac:dyDescent="0.2">
      <c r="G247"/>
      <c r="I247"/>
      <c r="O247"/>
    </row>
    <row r="248" spans="7:15" x14ac:dyDescent="0.2">
      <c r="G248"/>
      <c r="I248"/>
      <c r="O248"/>
    </row>
    <row r="249" spans="7:15" x14ac:dyDescent="0.2">
      <c r="G249"/>
      <c r="I249"/>
      <c r="O249"/>
    </row>
    <row r="250" spans="7:15" x14ac:dyDescent="0.2">
      <c r="G250"/>
      <c r="I250"/>
      <c r="O250"/>
    </row>
    <row r="251" spans="7:15" x14ac:dyDescent="0.2">
      <c r="G251"/>
      <c r="I251"/>
      <c r="O251"/>
    </row>
    <row r="252" spans="7:15" x14ac:dyDescent="0.2">
      <c r="G252"/>
      <c r="I252"/>
      <c r="O252"/>
    </row>
    <row r="253" spans="7:15" x14ac:dyDescent="0.2">
      <c r="G253"/>
      <c r="I253"/>
      <c r="O253"/>
    </row>
    <row r="254" spans="7:15" x14ac:dyDescent="0.2">
      <c r="G254"/>
      <c r="I254"/>
      <c r="O254"/>
    </row>
    <row r="255" spans="7:15" x14ac:dyDescent="0.2">
      <c r="G255"/>
      <c r="I255"/>
      <c r="O255"/>
    </row>
    <row r="256" spans="7:15" x14ac:dyDescent="0.2">
      <c r="G256"/>
      <c r="I256"/>
      <c r="O256"/>
    </row>
    <row r="257" spans="7:15" x14ac:dyDescent="0.2">
      <c r="G257"/>
      <c r="I257"/>
      <c r="O257"/>
    </row>
    <row r="258" spans="7:15" x14ac:dyDescent="0.2">
      <c r="G258"/>
      <c r="I258"/>
      <c r="O258"/>
    </row>
    <row r="259" spans="7:15" x14ac:dyDescent="0.2">
      <c r="G259"/>
      <c r="I259"/>
      <c r="O259"/>
    </row>
    <row r="260" spans="7:15" x14ac:dyDescent="0.2">
      <c r="G260"/>
      <c r="I260"/>
      <c r="O260"/>
    </row>
    <row r="261" spans="7:15" x14ac:dyDescent="0.2">
      <c r="G261"/>
      <c r="I261"/>
      <c r="O261"/>
    </row>
    <row r="262" spans="7:15" x14ac:dyDescent="0.2">
      <c r="G262"/>
      <c r="I262"/>
      <c r="O262"/>
    </row>
    <row r="263" spans="7:15" x14ac:dyDescent="0.2">
      <c r="G263"/>
      <c r="I263"/>
      <c r="O263"/>
    </row>
    <row r="264" spans="7:15" x14ac:dyDescent="0.2">
      <c r="G264"/>
      <c r="I264"/>
      <c r="O264"/>
    </row>
    <row r="265" spans="7:15" x14ac:dyDescent="0.2">
      <c r="G265"/>
      <c r="I265"/>
      <c r="O265"/>
    </row>
    <row r="266" spans="7:15" x14ac:dyDescent="0.2">
      <c r="G266"/>
      <c r="I266"/>
      <c r="O266"/>
    </row>
    <row r="267" spans="7:15" x14ac:dyDescent="0.2">
      <c r="G267"/>
      <c r="I267"/>
      <c r="O267"/>
    </row>
    <row r="268" spans="7:15" x14ac:dyDescent="0.2">
      <c r="G268"/>
      <c r="I268"/>
      <c r="O268"/>
    </row>
    <row r="269" spans="7:15" x14ac:dyDescent="0.2">
      <c r="G269"/>
      <c r="I269"/>
      <c r="O269"/>
    </row>
    <row r="270" spans="7:15" x14ac:dyDescent="0.2">
      <c r="G270"/>
      <c r="I270"/>
      <c r="O270"/>
    </row>
    <row r="271" spans="7:15" x14ac:dyDescent="0.2">
      <c r="G271"/>
      <c r="I271"/>
      <c r="O271"/>
    </row>
    <row r="272" spans="7:15" x14ac:dyDescent="0.2">
      <c r="G272"/>
      <c r="I272"/>
      <c r="O272"/>
    </row>
    <row r="273" spans="7:15" x14ac:dyDescent="0.2">
      <c r="G273"/>
      <c r="I273"/>
      <c r="O273"/>
    </row>
    <row r="274" spans="7:15" x14ac:dyDescent="0.2">
      <c r="G274"/>
      <c r="I274"/>
      <c r="O274"/>
    </row>
    <row r="275" spans="7:15" x14ac:dyDescent="0.2">
      <c r="G275"/>
      <c r="I275"/>
      <c r="O275"/>
    </row>
    <row r="276" spans="7:15" x14ac:dyDescent="0.2">
      <c r="G276"/>
      <c r="I276"/>
      <c r="O276"/>
    </row>
    <row r="277" spans="7:15" x14ac:dyDescent="0.2">
      <c r="G277"/>
      <c r="I277"/>
      <c r="O277"/>
    </row>
    <row r="278" spans="7:15" x14ac:dyDescent="0.2">
      <c r="G278"/>
      <c r="I278"/>
      <c r="O278"/>
    </row>
    <row r="279" spans="7:15" x14ac:dyDescent="0.2">
      <c r="G279"/>
      <c r="I279"/>
      <c r="O279"/>
    </row>
    <row r="280" spans="7:15" x14ac:dyDescent="0.2">
      <c r="G280"/>
      <c r="I280"/>
      <c r="O280"/>
    </row>
    <row r="281" spans="7:15" x14ac:dyDescent="0.2">
      <c r="G281"/>
      <c r="I281"/>
      <c r="O281"/>
    </row>
    <row r="282" spans="7:15" x14ac:dyDescent="0.2">
      <c r="G282"/>
      <c r="I282"/>
      <c r="O282"/>
    </row>
    <row r="283" spans="7:15" x14ac:dyDescent="0.2">
      <c r="G283"/>
      <c r="I283"/>
      <c r="O283"/>
    </row>
    <row r="284" spans="7:15" x14ac:dyDescent="0.2">
      <c r="G284"/>
      <c r="I284"/>
      <c r="O284"/>
    </row>
    <row r="285" spans="7:15" x14ac:dyDescent="0.2">
      <c r="G285"/>
      <c r="I285"/>
      <c r="O285"/>
    </row>
    <row r="286" spans="7:15" x14ac:dyDescent="0.2">
      <c r="G286"/>
      <c r="I286"/>
      <c r="O286"/>
    </row>
    <row r="287" spans="7:15" x14ac:dyDescent="0.2">
      <c r="G287"/>
      <c r="I287"/>
      <c r="O287"/>
    </row>
    <row r="288" spans="7:15" x14ac:dyDescent="0.2">
      <c r="G288"/>
      <c r="I288"/>
      <c r="O288"/>
    </row>
    <row r="289" spans="7:15" x14ac:dyDescent="0.2">
      <c r="G289"/>
      <c r="I289"/>
      <c r="O289"/>
    </row>
    <row r="290" spans="7:15" x14ac:dyDescent="0.2">
      <c r="G290"/>
      <c r="I290"/>
      <c r="O290"/>
    </row>
    <row r="291" spans="7:15" x14ac:dyDescent="0.2">
      <c r="G291"/>
      <c r="I291"/>
      <c r="O291"/>
    </row>
    <row r="292" spans="7:15" x14ac:dyDescent="0.2">
      <c r="G292"/>
      <c r="I292"/>
      <c r="O292"/>
    </row>
    <row r="293" spans="7:15" x14ac:dyDescent="0.2">
      <c r="G293"/>
      <c r="I293"/>
      <c r="O293"/>
    </row>
    <row r="294" spans="7:15" x14ac:dyDescent="0.2">
      <c r="G294"/>
      <c r="I294"/>
      <c r="O294"/>
    </row>
    <row r="295" spans="7:15" x14ac:dyDescent="0.2">
      <c r="G295"/>
      <c r="I295"/>
      <c r="O295"/>
    </row>
    <row r="296" spans="7:15" x14ac:dyDescent="0.2">
      <c r="G296"/>
      <c r="I296"/>
      <c r="O296"/>
    </row>
    <row r="297" spans="7:15" x14ac:dyDescent="0.2">
      <c r="G297"/>
      <c r="I297"/>
      <c r="O297"/>
    </row>
    <row r="298" spans="7:15" x14ac:dyDescent="0.2">
      <c r="G298"/>
      <c r="I298"/>
      <c r="O298"/>
    </row>
    <row r="299" spans="7:15" x14ac:dyDescent="0.2">
      <c r="G299"/>
      <c r="I299"/>
      <c r="O299"/>
    </row>
    <row r="300" spans="7:15" x14ac:dyDescent="0.2">
      <c r="G300"/>
      <c r="I300"/>
      <c r="O300"/>
    </row>
    <row r="301" spans="7:15" x14ac:dyDescent="0.2">
      <c r="G301"/>
      <c r="I301"/>
      <c r="O301"/>
    </row>
    <row r="302" spans="7:15" x14ac:dyDescent="0.2">
      <c r="G302"/>
      <c r="I302"/>
      <c r="O302"/>
    </row>
    <row r="303" spans="7:15" x14ac:dyDescent="0.2">
      <c r="G303"/>
      <c r="I303"/>
      <c r="O303"/>
    </row>
    <row r="304" spans="7:15" x14ac:dyDescent="0.2">
      <c r="G304"/>
      <c r="I304"/>
      <c r="O304"/>
    </row>
    <row r="305" spans="7:15" x14ac:dyDescent="0.2">
      <c r="G305"/>
      <c r="I305"/>
      <c r="O305"/>
    </row>
    <row r="306" spans="7:15" x14ac:dyDescent="0.2">
      <c r="G306"/>
      <c r="I306"/>
      <c r="O306"/>
    </row>
    <row r="307" spans="7:15" x14ac:dyDescent="0.2">
      <c r="G307"/>
      <c r="I307"/>
      <c r="O307"/>
    </row>
    <row r="308" spans="7:15" x14ac:dyDescent="0.2">
      <c r="G308"/>
      <c r="I308"/>
      <c r="O308"/>
    </row>
    <row r="309" spans="7:15" x14ac:dyDescent="0.2">
      <c r="G309"/>
      <c r="I309"/>
      <c r="O309"/>
    </row>
    <row r="310" spans="7:15" x14ac:dyDescent="0.2">
      <c r="G310"/>
      <c r="I310"/>
      <c r="O310"/>
    </row>
    <row r="311" spans="7:15" x14ac:dyDescent="0.2">
      <c r="G311"/>
      <c r="I311"/>
      <c r="O311"/>
    </row>
    <row r="312" spans="7:15" x14ac:dyDescent="0.2">
      <c r="G312"/>
      <c r="I312"/>
      <c r="O312"/>
    </row>
    <row r="313" spans="7:15" x14ac:dyDescent="0.2">
      <c r="G313"/>
      <c r="I313"/>
      <c r="O313"/>
    </row>
    <row r="314" spans="7:15" x14ac:dyDescent="0.2">
      <c r="G314"/>
      <c r="I314"/>
      <c r="O314"/>
    </row>
    <row r="315" spans="7:15" x14ac:dyDescent="0.2">
      <c r="G315"/>
      <c r="I315"/>
      <c r="O315"/>
    </row>
    <row r="316" spans="7:15" x14ac:dyDescent="0.2">
      <c r="G316"/>
      <c r="I316"/>
      <c r="O316"/>
    </row>
    <row r="317" spans="7:15" x14ac:dyDescent="0.2">
      <c r="G317"/>
      <c r="I317"/>
      <c r="O317"/>
    </row>
    <row r="318" spans="7:15" x14ac:dyDescent="0.2">
      <c r="G318"/>
      <c r="I318"/>
      <c r="O318"/>
    </row>
    <row r="319" spans="7:15" x14ac:dyDescent="0.2">
      <c r="G319"/>
      <c r="I319"/>
      <c r="O319"/>
    </row>
    <row r="320" spans="7:15" x14ac:dyDescent="0.2">
      <c r="G320"/>
      <c r="I320"/>
      <c r="O320"/>
    </row>
    <row r="321" spans="7:15" x14ac:dyDescent="0.2">
      <c r="G321"/>
      <c r="I321"/>
      <c r="O321"/>
    </row>
    <row r="322" spans="7:15" x14ac:dyDescent="0.2">
      <c r="G322"/>
      <c r="I322"/>
      <c r="O322"/>
    </row>
    <row r="323" spans="7:15" x14ac:dyDescent="0.2">
      <c r="G323"/>
      <c r="I323"/>
      <c r="O323"/>
    </row>
    <row r="324" spans="7:15" x14ac:dyDescent="0.2">
      <c r="G324"/>
      <c r="I324"/>
      <c r="O324"/>
    </row>
    <row r="325" spans="7:15" x14ac:dyDescent="0.2">
      <c r="G325"/>
      <c r="I325"/>
      <c r="O325"/>
    </row>
    <row r="326" spans="7:15" x14ac:dyDescent="0.2">
      <c r="G326"/>
      <c r="I326"/>
      <c r="O326"/>
    </row>
    <row r="327" spans="7:15" x14ac:dyDescent="0.2">
      <c r="G327"/>
      <c r="I327"/>
      <c r="O327"/>
    </row>
    <row r="328" spans="7:15" x14ac:dyDescent="0.2">
      <c r="G328"/>
      <c r="I328"/>
      <c r="O328"/>
    </row>
    <row r="329" spans="7:15" x14ac:dyDescent="0.2">
      <c r="G329"/>
      <c r="I329"/>
      <c r="O329"/>
    </row>
    <row r="330" spans="7:15" x14ac:dyDescent="0.2">
      <c r="G330"/>
      <c r="I330"/>
      <c r="O330"/>
    </row>
    <row r="331" spans="7:15" x14ac:dyDescent="0.2">
      <c r="G331"/>
      <c r="I331"/>
      <c r="O331"/>
    </row>
    <row r="332" spans="7:15" x14ac:dyDescent="0.2">
      <c r="G332"/>
      <c r="I332"/>
      <c r="O332"/>
    </row>
    <row r="333" spans="7:15" x14ac:dyDescent="0.2">
      <c r="G333"/>
      <c r="I333"/>
      <c r="O333"/>
    </row>
    <row r="334" spans="7:15" x14ac:dyDescent="0.2">
      <c r="G334"/>
      <c r="I334"/>
      <c r="O334"/>
    </row>
    <row r="335" spans="7:15" x14ac:dyDescent="0.2">
      <c r="G335"/>
      <c r="I335"/>
      <c r="O335"/>
    </row>
    <row r="336" spans="7:15" x14ac:dyDescent="0.2">
      <c r="G336"/>
      <c r="I336"/>
      <c r="O336"/>
    </row>
    <row r="337" spans="7:15" x14ac:dyDescent="0.2">
      <c r="G337"/>
      <c r="I337"/>
      <c r="O337"/>
    </row>
    <row r="338" spans="7:15" x14ac:dyDescent="0.2">
      <c r="G338"/>
      <c r="I338"/>
      <c r="O338"/>
    </row>
    <row r="339" spans="7:15" x14ac:dyDescent="0.2">
      <c r="G339"/>
      <c r="I339"/>
      <c r="O339"/>
    </row>
    <row r="340" spans="7:15" x14ac:dyDescent="0.2">
      <c r="G340"/>
      <c r="I340"/>
      <c r="O340"/>
    </row>
    <row r="341" spans="7:15" x14ac:dyDescent="0.2">
      <c r="G341"/>
      <c r="I341"/>
      <c r="O341"/>
    </row>
    <row r="342" spans="7:15" x14ac:dyDescent="0.2">
      <c r="G342"/>
      <c r="I342"/>
      <c r="O342"/>
    </row>
    <row r="343" spans="7:15" x14ac:dyDescent="0.2">
      <c r="G343"/>
      <c r="I343"/>
      <c r="O343"/>
    </row>
    <row r="344" spans="7:15" x14ac:dyDescent="0.2">
      <c r="G344"/>
      <c r="I344"/>
      <c r="O344"/>
    </row>
    <row r="345" spans="7:15" x14ac:dyDescent="0.2">
      <c r="G345"/>
      <c r="I345"/>
      <c r="O345"/>
    </row>
    <row r="346" spans="7:15" x14ac:dyDescent="0.2">
      <c r="G346"/>
      <c r="I346"/>
      <c r="O346"/>
    </row>
    <row r="347" spans="7:15" x14ac:dyDescent="0.2">
      <c r="G347"/>
      <c r="I347"/>
      <c r="O347"/>
    </row>
    <row r="348" spans="7:15" x14ac:dyDescent="0.2">
      <c r="G348"/>
      <c r="I348"/>
      <c r="O348"/>
    </row>
    <row r="349" spans="7:15" x14ac:dyDescent="0.2">
      <c r="G349"/>
      <c r="I349"/>
      <c r="O349"/>
    </row>
    <row r="350" spans="7:15" x14ac:dyDescent="0.2">
      <c r="G350"/>
      <c r="I350"/>
      <c r="O350"/>
    </row>
    <row r="351" spans="7:15" x14ac:dyDescent="0.2">
      <c r="G351"/>
      <c r="I351"/>
      <c r="O351"/>
    </row>
    <row r="352" spans="7:15" x14ac:dyDescent="0.2">
      <c r="G352"/>
      <c r="I352"/>
      <c r="O352"/>
    </row>
    <row r="353" spans="7:15" x14ac:dyDescent="0.2">
      <c r="G353"/>
      <c r="I353"/>
      <c r="O353"/>
    </row>
    <row r="354" spans="7:15" x14ac:dyDescent="0.2">
      <c r="G354"/>
      <c r="I354"/>
      <c r="O354"/>
    </row>
    <row r="355" spans="7:15" x14ac:dyDescent="0.2">
      <c r="G355"/>
      <c r="I355"/>
      <c r="O355"/>
    </row>
    <row r="356" spans="7:15" x14ac:dyDescent="0.2">
      <c r="G356"/>
      <c r="I356"/>
      <c r="O356"/>
    </row>
    <row r="357" spans="7:15" x14ac:dyDescent="0.2">
      <c r="G357"/>
      <c r="I357"/>
      <c r="O357"/>
    </row>
    <row r="358" spans="7:15" x14ac:dyDescent="0.2">
      <c r="G358"/>
      <c r="I358"/>
      <c r="O358"/>
    </row>
    <row r="359" spans="7:15" x14ac:dyDescent="0.2">
      <c r="G359"/>
      <c r="I359"/>
      <c r="O359"/>
    </row>
    <row r="360" spans="7:15" x14ac:dyDescent="0.2">
      <c r="G360"/>
      <c r="I360"/>
      <c r="O360"/>
    </row>
    <row r="361" spans="7:15" x14ac:dyDescent="0.2">
      <c r="G361"/>
      <c r="I361"/>
      <c r="O361"/>
    </row>
    <row r="362" spans="7:15" x14ac:dyDescent="0.2">
      <c r="G362"/>
      <c r="I362"/>
      <c r="O362"/>
    </row>
    <row r="363" spans="7:15" x14ac:dyDescent="0.2">
      <c r="G363"/>
      <c r="I363"/>
      <c r="O363"/>
    </row>
    <row r="364" spans="7:15" x14ac:dyDescent="0.2">
      <c r="G364"/>
      <c r="I364"/>
      <c r="O364"/>
    </row>
    <row r="365" spans="7:15" x14ac:dyDescent="0.2">
      <c r="G365"/>
      <c r="I365"/>
      <c r="O365"/>
    </row>
    <row r="366" spans="7:15" x14ac:dyDescent="0.2">
      <c r="G366"/>
      <c r="I366"/>
      <c r="O366"/>
    </row>
    <row r="367" spans="7:15" x14ac:dyDescent="0.2">
      <c r="G367"/>
      <c r="I367"/>
      <c r="O367"/>
    </row>
    <row r="368" spans="7:15" x14ac:dyDescent="0.2">
      <c r="G368"/>
      <c r="I368"/>
      <c r="O368"/>
    </row>
    <row r="369" spans="7:15" x14ac:dyDescent="0.2">
      <c r="G369"/>
      <c r="I369"/>
      <c r="O369"/>
    </row>
    <row r="370" spans="7:15" x14ac:dyDescent="0.2">
      <c r="G370"/>
      <c r="I370"/>
      <c r="O370"/>
    </row>
    <row r="371" spans="7:15" x14ac:dyDescent="0.2">
      <c r="G371"/>
      <c r="I371"/>
      <c r="O371"/>
    </row>
    <row r="372" spans="7:15" x14ac:dyDescent="0.2">
      <c r="G372"/>
      <c r="I372"/>
      <c r="O372"/>
    </row>
    <row r="373" spans="7:15" x14ac:dyDescent="0.2">
      <c r="G373"/>
      <c r="I373"/>
      <c r="O373"/>
    </row>
    <row r="374" spans="7:15" x14ac:dyDescent="0.2">
      <c r="G374"/>
      <c r="I374"/>
      <c r="O374"/>
    </row>
    <row r="375" spans="7:15" x14ac:dyDescent="0.2">
      <c r="G375"/>
      <c r="I375"/>
      <c r="O375"/>
    </row>
    <row r="376" spans="7:15" x14ac:dyDescent="0.2">
      <c r="G376"/>
      <c r="I376"/>
      <c r="O376"/>
    </row>
    <row r="377" spans="7:15" x14ac:dyDescent="0.2">
      <c r="G377"/>
      <c r="I377"/>
      <c r="O377"/>
    </row>
    <row r="378" spans="7:15" x14ac:dyDescent="0.2">
      <c r="G378"/>
      <c r="I378"/>
      <c r="O378"/>
    </row>
    <row r="379" spans="7:15" x14ac:dyDescent="0.2">
      <c r="G379"/>
      <c r="I379"/>
      <c r="O379"/>
    </row>
    <row r="380" spans="7:15" x14ac:dyDescent="0.2">
      <c r="G380"/>
      <c r="I380"/>
      <c r="O380"/>
    </row>
    <row r="381" spans="7:15" x14ac:dyDescent="0.2">
      <c r="G381"/>
      <c r="I381"/>
      <c r="O381"/>
    </row>
    <row r="382" spans="7:15" x14ac:dyDescent="0.2">
      <c r="G382"/>
      <c r="I382"/>
      <c r="O382"/>
    </row>
    <row r="383" spans="7:15" x14ac:dyDescent="0.2">
      <c r="G383"/>
      <c r="I383"/>
      <c r="O383"/>
    </row>
  </sheetData>
  <mergeCells count="3">
    <mergeCell ref="C1:F1"/>
    <mergeCell ref="I1:N1"/>
    <mergeCell ref="O1:S1"/>
  </mergeCells>
  <hyperlinks>
    <hyperlink ref="U20" r:id="rId1" xr:uid="{F0E3AA49-E244-D245-8627-78559A5A1329}"/>
    <hyperlink ref="U19" r:id="rId2" xr:uid="{A4BCEF89-568E-3F45-A20A-F9C19DBCB4EE}"/>
    <hyperlink ref="U6" r:id="rId3" xr:uid="{FF70BC30-CCA0-9644-88FD-E302C670A3FC}"/>
    <hyperlink ref="U57" r:id="rId4" xr:uid="{535E3A23-EE42-F640-927E-2BBDF0BA333C}"/>
    <hyperlink ref="U50" r:id="rId5" xr:uid="{15124C8E-04BC-0E4B-9D73-1FFB2C0F534E}"/>
    <hyperlink ref="U12" r:id="rId6" xr:uid="{785B029B-83AF-A347-B4C5-C91D6CF4E428}"/>
    <hyperlink ref="U39" r:id="rId7" xr:uid="{44375934-FA7E-6C47-B4C5-D91EEC66DF90}"/>
    <hyperlink ref="U3" r:id="rId8" xr:uid="{580571AD-7D1F-504B-8787-C8945084C5F8}"/>
    <hyperlink ref="U53" r:id="rId9" xr:uid="{36242C3F-16E4-9F4F-BD15-65982127B129}"/>
  </hyperlinks>
  <pageMargins left="0.7" right="0.7" top="0.75" bottom="0.75" header="0.3" footer="0.3"/>
  <pageSetup orientation="portrait" horizontalDpi="0" verticalDpi="0"/>
  <drawing r:id="rId1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2E8AF-4633-9A44-85AD-21291FEE96C9}">
  <dimension ref="A1:AL35"/>
  <sheetViews>
    <sheetView zoomScale="81" workbookViewId="0">
      <selection activeCell="B35" sqref="B35"/>
    </sheetView>
  </sheetViews>
  <sheetFormatPr baseColWidth="10" defaultColWidth="11" defaultRowHeight="16" x14ac:dyDescent="0.2"/>
  <cols>
    <col min="1" max="1" width="27.6640625" customWidth="1"/>
    <col min="5" max="5" width="24.1640625" customWidth="1"/>
    <col min="6" max="7" width="12.33203125" customWidth="1"/>
    <col min="10" max="10" width="14" customWidth="1"/>
    <col min="11" max="11" width="33.1640625" customWidth="1"/>
    <col min="12" max="12" width="15.6640625" customWidth="1"/>
    <col min="13" max="13" width="18.6640625" customWidth="1"/>
    <col min="15" max="15" width="19.83203125" customWidth="1"/>
    <col min="16" max="16" width="14.6640625" customWidth="1"/>
    <col min="17" max="17" width="149.33203125" customWidth="1"/>
    <col min="18" max="18" width="110.1640625" customWidth="1"/>
  </cols>
  <sheetData>
    <row r="1" spans="1:38" x14ac:dyDescent="0.2">
      <c r="A1" s="12"/>
      <c r="B1" s="102" t="s">
        <v>0</v>
      </c>
      <c r="C1" s="103"/>
      <c r="D1" s="103"/>
      <c r="E1" s="103"/>
      <c r="F1" s="104" t="s">
        <v>2</v>
      </c>
      <c r="G1" s="104"/>
      <c r="H1" s="104"/>
      <c r="I1" s="104"/>
      <c r="J1" s="104"/>
      <c r="K1" s="104"/>
      <c r="L1" s="105" t="s">
        <v>3</v>
      </c>
      <c r="M1" s="105"/>
      <c r="N1" s="105"/>
      <c r="O1" s="105"/>
      <c r="P1" s="105"/>
      <c r="Q1" s="13"/>
      <c r="R1" s="13"/>
      <c r="S1" s="13"/>
      <c r="T1" s="13"/>
      <c r="U1" s="13"/>
      <c r="V1" s="13"/>
      <c r="W1" s="13"/>
      <c r="X1" s="13"/>
      <c r="Y1" s="13"/>
      <c r="Z1" s="13"/>
      <c r="AA1" s="13"/>
      <c r="AB1" s="13"/>
      <c r="AC1" s="13"/>
      <c r="AD1" s="13"/>
      <c r="AE1" s="13"/>
      <c r="AF1" s="13"/>
      <c r="AG1" s="13"/>
      <c r="AH1" s="13"/>
      <c r="AI1" s="13"/>
    </row>
    <row r="2" spans="1:38" x14ac:dyDescent="0.2">
      <c r="A2" s="14" t="s">
        <v>7</v>
      </c>
      <c r="B2" s="15" t="s">
        <v>8</v>
      </c>
      <c r="C2" s="15" t="s">
        <v>9</v>
      </c>
      <c r="D2" s="15" t="s">
        <v>10</v>
      </c>
      <c r="E2" s="16" t="s">
        <v>11</v>
      </c>
      <c r="F2" s="15" t="s">
        <v>15</v>
      </c>
      <c r="G2" s="15" t="s">
        <v>16</v>
      </c>
      <c r="H2" s="15" t="s">
        <v>17</v>
      </c>
      <c r="I2" s="15" t="s">
        <v>18</v>
      </c>
      <c r="J2" s="15" t="s">
        <v>19</v>
      </c>
      <c r="K2" s="16" t="s">
        <v>20</v>
      </c>
      <c r="L2" s="15" t="s">
        <v>21</v>
      </c>
      <c r="M2" s="15" t="s">
        <v>22</v>
      </c>
      <c r="N2" s="15" t="s">
        <v>23</v>
      </c>
      <c r="O2" s="15" t="s">
        <v>24</v>
      </c>
      <c r="P2" s="16" t="s">
        <v>25</v>
      </c>
      <c r="Q2" s="17" t="s">
        <v>4</v>
      </c>
      <c r="R2" s="17" t="s">
        <v>5</v>
      </c>
      <c r="S2" s="15" t="s">
        <v>26</v>
      </c>
      <c r="T2" s="15"/>
      <c r="U2" s="15"/>
      <c r="V2" s="15"/>
      <c r="W2" s="15"/>
      <c r="X2" s="15"/>
      <c r="Y2" s="15"/>
      <c r="Z2" s="15"/>
      <c r="AA2" s="15"/>
      <c r="AB2" s="15"/>
      <c r="AC2" s="15"/>
      <c r="AD2" s="15"/>
      <c r="AE2" s="15"/>
      <c r="AF2" s="15"/>
      <c r="AG2" s="15"/>
      <c r="AH2" s="15"/>
      <c r="AI2" s="15" t="s">
        <v>27</v>
      </c>
    </row>
    <row r="3" spans="1:38" ht="18" customHeight="1" x14ac:dyDescent="0.2">
      <c r="A3" s="3" t="s">
        <v>372</v>
      </c>
      <c r="B3">
        <v>1501</v>
      </c>
      <c r="D3">
        <v>6961</v>
      </c>
      <c r="E3" s="2"/>
      <c r="F3" t="s">
        <v>154</v>
      </c>
      <c r="H3" t="s">
        <v>373</v>
      </c>
      <c r="I3" t="s">
        <v>51</v>
      </c>
      <c r="J3" s="5">
        <v>202000</v>
      </c>
      <c r="K3" s="2" t="s">
        <v>34</v>
      </c>
      <c r="L3">
        <v>51.6</v>
      </c>
      <c r="M3" s="5">
        <v>200000</v>
      </c>
      <c r="P3" s="2"/>
      <c r="Q3" s="2" t="s">
        <v>374</v>
      </c>
      <c r="R3" t="s">
        <v>375</v>
      </c>
    </row>
    <row r="4" spans="1:38" x14ac:dyDescent="0.2">
      <c r="A4" s="3" t="s">
        <v>376</v>
      </c>
      <c r="B4">
        <v>197.69300000000001</v>
      </c>
      <c r="D4">
        <v>1012.48</v>
      </c>
      <c r="E4" s="2"/>
      <c r="F4" t="s">
        <v>154</v>
      </c>
      <c r="H4" t="s">
        <v>46</v>
      </c>
      <c r="I4" t="s">
        <v>51</v>
      </c>
      <c r="J4">
        <v>188700</v>
      </c>
      <c r="K4" s="2" t="s">
        <v>377</v>
      </c>
      <c r="L4">
        <v>32.799999999999997</v>
      </c>
      <c r="M4" s="5">
        <v>415000</v>
      </c>
      <c r="P4" s="2"/>
      <c r="Q4" t="s">
        <v>378</v>
      </c>
      <c r="R4" t="s">
        <v>379</v>
      </c>
    </row>
    <row r="5" spans="1:38" x14ac:dyDescent="0.2">
      <c r="A5" s="3" t="s">
        <v>380</v>
      </c>
      <c r="B5">
        <v>51.7</v>
      </c>
      <c r="D5">
        <v>3798.55</v>
      </c>
      <c r="E5" s="2"/>
      <c r="F5" t="s">
        <v>154</v>
      </c>
      <c r="H5" t="s">
        <v>381</v>
      </c>
      <c r="I5" t="s">
        <v>51</v>
      </c>
      <c r="K5" s="2" t="s">
        <v>382</v>
      </c>
      <c r="L5">
        <v>67</v>
      </c>
      <c r="M5" s="5">
        <v>23000000</v>
      </c>
      <c r="P5" s="2"/>
      <c r="Q5" t="s">
        <v>383</v>
      </c>
      <c r="R5" t="s">
        <v>384</v>
      </c>
    </row>
    <row r="6" spans="1:38" x14ac:dyDescent="0.2">
      <c r="A6" s="12" t="s">
        <v>385</v>
      </c>
      <c r="B6" s="13">
        <v>2.8260000000000001</v>
      </c>
      <c r="C6" s="13">
        <v>0.312</v>
      </c>
      <c r="D6" s="13">
        <v>25.536999999999999</v>
      </c>
      <c r="E6" s="18">
        <v>6.7670000000000003</v>
      </c>
      <c r="F6" s="13" t="s">
        <v>154</v>
      </c>
      <c r="G6" s="13"/>
      <c r="H6" s="13" t="s">
        <v>46</v>
      </c>
      <c r="I6" s="13" t="s">
        <v>51</v>
      </c>
      <c r="J6" s="13"/>
      <c r="K6" s="18"/>
      <c r="L6" s="13">
        <v>27</v>
      </c>
      <c r="M6" s="19">
        <v>25850</v>
      </c>
      <c r="N6" s="13">
        <v>3.6700000000000001E-3</v>
      </c>
      <c r="O6" s="13">
        <v>37.5</v>
      </c>
      <c r="P6" s="18"/>
      <c r="Q6" s="13"/>
      <c r="R6" s="10" t="s">
        <v>155</v>
      </c>
      <c r="S6" s="13"/>
      <c r="T6" s="13"/>
      <c r="U6" s="13"/>
      <c r="V6" s="13"/>
      <c r="W6" s="13"/>
      <c r="X6" s="13"/>
      <c r="Y6" s="13"/>
      <c r="Z6" s="13"/>
      <c r="AA6" s="13"/>
      <c r="AB6" s="13"/>
      <c r="AC6" s="13"/>
      <c r="AD6" s="13"/>
      <c r="AE6" s="13"/>
      <c r="AF6" s="13"/>
      <c r="AG6" s="13"/>
      <c r="AH6" s="13"/>
      <c r="AI6" s="13"/>
    </row>
    <row r="7" spans="1:38" x14ac:dyDescent="0.2">
      <c r="A7" s="3" t="s">
        <v>386</v>
      </c>
      <c r="B7">
        <v>35.31</v>
      </c>
      <c r="D7">
        <v>338.31</v>
      </c>
      <c r="E7" s="2"/>
      <c r="F7" t="s">
        <v>31</v>
      </c>
      <c r="G7">
        <v>9</v>
      </c>
      <c r="H7" t="s">
        <v>46</v>
      </c>
      <c r="I7" t="s">
        <v>51</v>
      </c>
      <c r="K7" s="2" t="s">
        <v>34</v>
      </c>
      <c r="L7">
        <v>11</v>
      </c>
      <c r="M7">
        <v>472</v>
      </c>
      <c r="N7">
        <v>2.0699999999999998E-3</v>
      </c>
      <c r="O7">
        <v>32.5</v>
      </c>
      <c r="P7" s="2"/>
      <c r="R7" t="s">
        <v>387</v>
      </c>
    </row>
    <row r="8" spans="1:38" x14ac:dyDescent="0.2">
      <c r="A8" s="3" t="s">
        <v>388</v>
      </c>
      <c r="B8">
        <v>2.504</v>
      </c>
      <c r="D8">
        <v>6.25</v>
      </c>
      <c r="E8" s="2"/>
      <c r="F8" t="s">
        <v>31</v>
      </c>
      <c r="G8" t="s">
        <v>281</v>
      </c>
      <c r="H8" t="s">
        <v>46</v>
      </c>
      <c r="I8" t="s">
        <v>51</v>
      </c>
      <c r="K8" s="2"/>
      <c r="L8">
        <v>9.8000000000000007</v>
      </c>
      <c r="M8" s="5">
        <v>1300</v>
      </c>
      <c r="N8">
        <v>1.9269999999999999E-3</v>
      </c>
      <c r="O8">
        <v>35</v>
      </c>
      <c r="P8" s="2"/>
      <c r="Q8" t="s">
        <v>389</v>
      </c>
      <c r="R8" s="8" t="s">
        <v>390</v>
      </c>
    </row>
    <row r="9" spans="1:38" x14ac:dyDescent="0.2">
      <c r="A9" s="3" t="s">
        <v>391</v>
      </c>
      <c r="B9">
        <v>29.74</v>
      </c>
      <c r="D9">
        <v>261</v>
      </c>
      <c r="E9" s="2"/>
      <c r="F9" t="s">
        <v>154</v>
      </c>
      <c r="H9" t="s">
        <v>46</v>
      </c>
      <c r="I9" t="s">
        <v>51</v>
      </c>
      <c r="K9" s="2" t="s">
        <v>392</v>
      </c>
      <c r="L9">
        <v>22.1</v>
      </c>
      <c r="M9" s="5">
        <v>9300</v>
      </c>
      <c r="N9">
        <v>1.214E-3</v>
      </c>
      <c r="O9">
        <v>35.799999999999997</v>
      </c>
      <c r="P9" s="2"/>
      <c r="Q9" t="s">
        <v>393</v>
      </c>
      <c r="R9" s="10" t="s">
        <v>394</v>
      </c>
    </row>
    <row r="10" spans="1:38" x14ac:dyDescent="0.2">
      <c r="A10" s="3" t="s">
        <v>395</v>
      </c>
      <c r="C10">
        <v>265.09399999999999</v>
      </c>
      <c r="E10" s="2"/>
      <c r="F10" t="s">
        <v>31</v>
      </c>
      <c r="G10">
        <v>12</v>
      </c>
      <c r="H10" t="s">
        <v>396</v>
      </c>
      <c r="I10" t="s">
        <v>51</v>
      </c>
      <c r="K10" s="2" t="s">
        <v>397</v>
      </c>
      <c r="L10">
        <v>15.1</v>
      </c>
      <c r="M10" s="5">
        <v>6500</v>
      </c>
      <c r="N10">
        <v>1.622E-3</v>
      </c>
      <c r="O10">
        <v>36.5</v>
      </c>
      <c r="P10" s="2"/>
      <c r="Q10" t="s">
        <v>398</v>
      </c>
      <c r="R10" t="s">
        <v>399</v>
      </c>
    </row>
    <row r="11" spans="1:38" x14ac:dyDescent="0.2">
      <c r="A11" s="3" t="s">
        <v>400</v>
      </c>
      <c r="B11" t="s">
        <v>401</v>
      </c>
      <c r="D11" t="s">
        <v>402</v>
      </c>
      <c r="E11" s="2"/>
      <c r="F11" t="s">
        <v>239</v>
      </c>
      <c r="H11" t="s">
        <v>35</v>
      </c>
      <c r="I11" t="s">
        <v>33</v>
      </c>
      <c r="K11" s="2" t="s">
        <v>403</v>
      </c>
      <c r="L11">
        <v>27</v>
      </c>
      <c r="M11" s="5">
        <v>40000</v>
      </c>
      <c r="P11" s="2" t="s">
        <v>35</v>
      </c>
      <c r="Q11" t="s">
        <v>404</v>
      </c>
      <c r="R11" t="s">
        <v>405</v>
      </c>
    </row>
    <row r="12" spans="1:38" x14ac:dyDescent="0.2">
      <c r="A12" s="3" t="s">
        <v>406</v>
      </c>
      <c r="B12">
        <v>700</v>
      </c>
      <c r="E12" s="2"/>
      <c r="F12" t="s">
        <v>407</v>
      </c>
      <c r="H12" t="s">
        <v>46</v>
      </c>
      <c r="I12" t="s">
        <v>51</v>
      </c>
      <c r="K12" s="2"/>
      <c r="L12">
        <v>9.5</v>
      </c>
      <c r="M12" s="5">
        <v>96</v>
      </c>
      <c r="N12">
        <v>9.0699999999999999E-3</v>
      </c>
      <c r="O12">
        <v>38.200000000000003</v>
      </c>
      <c r="P12" s="2"/>
      <c r="Q12" s="2" t="s">
        <v>408</v>
      </c>
      <c r="R12" t="s">
        <v>409</v>
      </c>
    </row>
    <row r="14" spans="1:38" x14ac:dyDescent="0.2">
      <c r="A14" s="30" t="s">
        <v>410</v>
      </c>
    </row>
    <row r="16" spans="1:38" x14ac:dyDescent="0.2">
      <c r="A16" s="12" t="s">
        <v>411</v>
      </c>
      <c r="B16" s="13"/>
      <c r="C16" s="13"/>
      <c r="D16" s="13"/>
      <c r="E16" s="13"/>
      <c r="F16" s="13"/>
      <c r="G16" s="13"/>
      <c r="H16" s="13"/>
      <c r="I16" s="13"/>
      <c r="J16" s="13"/>
      <c r="K16" s="18"/>
      <c r="L16" s="13">
        <v>10</v>
      </c>
      <c r="M16" s="19">
        <v>25</v>
      </c>
      <c r="N16" s="13">
        <v>7.9600000000000001E-3</v>
      </c>
      <c r="O16" s="13">
        <v>36</v>
      </c>
      <c r="Q16" s="18"/>
      <c r="R16" s="10" t="s">
        <v>412</v>
      </c>
      <c r="S16" s="13"/>
      <c r="T16" s="13"/>
      <c r="U16" s="13"/>
      <c r="V16" s="13"/>
      <c r="W16" s="13"/>
      <c r="X16" s="13"/>
      <c r="Y16" s="13"/>
      <c r="AC16" s="13"/>
      <c r="AD16" s="13"/>
      <c r="AE16" s="13"/>
      <c r="AF16" s="13"/>
      <c r="AG16" s="13"/>
      <c r="AH16" s="13"/>
      <c r="AI16" s="13"/>
      <c r="AJ16" s="13"/>
      <c r="AK16" s="13"/>
      <c r="AL16" s="13"/>
    </row>
    <row r="17" spans="1:37" x14ac:dyDescent="0.2">
      <c r="A17" s="3" t="s">
        <v>413</v>
      </c>
      <c r="E17" s="28"/>
      <c r="K17" s="2"/>
      <c r="L17">
        <v>31</v>
      </c>
      <c r="M17" s="5">
        <v>35</v>
      </c>
      <c r="N17">
        <v>3.6259999999999999E-3</v>
      </c>
      <c r="O17">
        <v>32.1</v>
      </c>
      <c r="Q17" s="23"/>
      <c r="R17" t="s">
        <v>414</v>
      </c>
    </row>
    <row r="18" spans="1:37" x14ac:dyDescent="0.2">
      <c r="A18" s="3" t="s">
        <v>415</v>
      </c>
      <c r="E18" s="28"/>
      <c r="K18" s="2"/>
      <c r="Q18" s="23"/>
      <c r="R18" s="10" t="s">
        <v>416</v>
      </c>
    </row>
    <row r="19" spans="1:37" x14ac:dyDescent="0.2">
      <c r="A19" s="3" t="s">
        <v>417</v>
      </c>
      <c r="E19" s="28"/>
      <c r="K19" s="2"/>
      <c r="L19">
        <v>122.5</v>
      </c>
      <c r="M19" s="5">
        <v>62035</v>
      </c>
      <c r="N19">
        <v>1.183E-3</v>
      </c>
      <c r="O19">
        <v>37</v>
      </c>
      <c r="Q19" s="23"/>
    </row>
    <row r="20" spans="1:37" x14ac:dyDescent="0.2">
      <c r="A20" s="29" t="s">
        <v>349</v>
      </c>
      <c r="E20" s="28"/>
      <c r="F20" t="s">
        <v>31</v>
      </c>
      <c r="G20">
        <v>12</v>
      </c>
      <c r="H20" t="s">
        <v>46</v>
      </c>
      <c r="I20" t="s">
        <v>33</v>
      </c>
      <c r="K20" s="2" t="s">
        <v>34</v>
      </c>
      <c r="L20">
        <v>26.8</v>
      </c>
      <c r="M20" s="5">
        <v>10100</v>
      </c>
      <c r="Q20" s="23"/>
      <c r="R20" t="s">
        <v>351</v>
      </c>
    </row>
    <row r="21" spans="1:37" x14ac:dyDescent="0.2">
      <c r="A21" s="3" t="s">
        <v>418</v>
      </c>
      <c r="B21" t="s">
        <v>419</v>
      </c>
      <c r="D21" t="s">
        <v>419</v>
      </c>
      <c r="E21" s="28"/>
      <c r="F21" t="s">
        <v>31</v>
      </c>
      <c r="G21" s="36" t="s">
        <v>420</v>
      </c>
      <c r="H21" t="s">
        <v>365</v>
      </c>
      <c r="I21" t="s">
        <v>51</v>
      </c>
      <c r="K21" s="2"/>
      <c r="Q21" s="23"/>
      <c r="R21" s="10" t="s">
        <v>421</v>
      </c>
    </row>
    <row r="22" spans="1:37" x14ac:dyDescent="0.2">
      <c r="A22" s="29" t="s">
        <v>422</v>
      </c>
      <c r="E22" s="28"/>
      <c r="F22" s="24" t="s">
        <v>338</v>
      </c>
      <c r="G22" t="s">
        <v>423</v>
      </c>
      <c r="H22" t="s">
        <v>46</v>
      </c>
      <c r="I22" t="s">
        <v>51</v>
      </c>
      <c r="J22">
        <v>550</v>
      </c>
      <c r="K22" s="2" t="s">
        <v>34</v>
      </c>
      <c r="L22">
        <v>17.2</v>
      </c>
      <c r="M22" s="5">
        <v>642.5</v>
      </c>
      <c r="N22">
        <v>3.0000000000000001E-3</v>
      </c>
      <c r="O22">
        <v>34.700000000000003</v>
      </c>
      <c r="Q22" s="23" t="s">
        <v>339</v>
      </c>
      <c r="R22" t="s">
        <v>340</v>
      </c>
    </row>
    <row r="23" spans="1:37" x14ac:dyDescent="0.2">
      <c r="A23" s="3" t="s">
        <v>424</v>
      </c>
      <c r="B23" t="s">
        <v>425</v>
      </c>
      <c r="D23" t="s">
        <v>425</v>
      </c>
      <c r="E23" s="28"/>
      <c r="F23" t="s">
        <v>239</v>
      </c>
      <c r="I23" t="s">
        <v>33</v>
      </c>
      <c r="K23" s="2" t="s">
        <v>34</v>
      </c>
      <c r="Q23" s="23"/>
      <c r="R23" s="10" t="s">
        <v>197</v>
      </c>
    </row>
    <row r="24" spans="1:37" x14ac:dyDescent="0.2">
      <c r="A24" s="3" t="s">
        <v>364</v>
      </c>
      <c r="C24">
        <v>13.798</v>
      </c>
      <c r="E24" s="28">
        <v>29.495000000000001</v>
      </c>
      <c r="H24" s="2"/>
      <c r="I24" t="s">
        <v>31</v>
      </c>
      <c r="J24">
        <v>12</v>
      </c>
      <c r="K24" t="s">
        <v>365</v>
      </c>
      <c r="L24" t="s">
        <v>51</v>
      </c>
      <c r="N24" s="2" t="s">
        <v>34</v>
      </c>
      <c r="O24">
        <v>49.5</v>
      </c>
      <c r="P24" s="5">
        <v>3500</v>
      </c>
      <c r="Q24">
        <v>8.0000000000000004E-4</v>
      </c>
      <c r="R24">
        <v>30.7</v>
      </c>
      <c r="S24" s="2"/>
      <c r="T24" s="23"/>
      <c r="U24" t="s">
        <v>367</v>
      </c>
    </row>
    <row r="25" spans="1:37" x14ac:dyDescent="0.2">
      <c r="A25" s="3" t="s">
        <v>364</v>
      </c>
      <c r="E25" s="28"/>
      <c r="G25">
        <v>4.1980000000000004</v>
      </c>
      <c r="H25">
        <v>25.832999999999998</v>
      </c>
      <c r="I25" s="24" t="s">
        <v>31</v>
      </c>
      <c r="J25">
        <v>4</v>
      </c>
      <c r="K25" t="s">
        <v>365</v>
      </c>
      <c r="L25" t="s">
        <v>51</v>
      </c>
      <c r="N25" t="s">
        <v>34</v>
      </c>
      <c r="O25" s="24">
        <v>49.5</v>
      </c>
      <c r="P25" s="5">
        <v>3500</v>
      </c>
      <c r="Q25">
        <v>8.0000000000000004E-4</v>
      </c>
      <c r="R25">
        <v>30.7</v>
      </c>
      <c r="S25" s="2"/>
      <c r="T25" s="23"/>
      <c r="U25" t="s">
        <v>367</v>
      </c>
    </row>
    <row r="26" spans="1:37" x14ac:dyDescent="0.2">
      <c r="A26" s="3" t="s">
        <v>364</v>
      </c>
      <c r="C26">
        <v>25.427</v>
      </c>
      <c r="E26" s="28">
        <v>100.855</v>
      </c>
      <c r="H26" s="2"/>
      <c r="I26" t="s">
        <v>31</v>
      </c>
      <c r="J26">
        <v>10</v>
      </c>
      <c r="K26" t="s">
        <v>365</v>
      </c>
      <c r="L26" t="s">
        <v>51</v>
      </c>
      <c r="N26" s="2" t="s">
        <v>34</v>
      </c>
      <c r="O26">
        <v>49.5</v>
      </c>
      <c r="P26" s="5">
        <v>3500</v>
      </c>
      <c r="Q26">
        <v>8.0000000000000004E-4</v>
      </c>
      <c r="R26">
        <v>30.7</v>
      </c>
      <c r="S26" s="2"/>
      <c r="T26" s="23"/>
      <c r="U26" t="s">
        <v>367</v>
      </c>
    </row>
    <row r="28" spans="1:37" x14ac:dyDescent="0.2">
      <c r="B28" s="62" t="s">
        <v>153</v>
      </c>
      <c r="C28">
        <v>0.72850000000000004</v>
      </c>
      <c r="D28">
        <v>5.1319999999999997</v>
      </c>
      <c r="E28">
        <v>6.2914000000000003</v>
      </c>
      <c r="F28" s="28">
        <v>16.645</v>
      </c>
      <c r="G28">
        <f>C28+D28</f>
        <v>5.8605</v>
      </c>
      <c r="H28">
        <f>E28+F28</f>
        <v>22.936399999999999</v>
      </c>
      <c r="J28" s="2"/>
      <c r="L28" s="2"/>
      <c r="M28" s="13">
        <v>0.29139999999999999</v>
      </c>
      <c r="N28" s="13">
        <v>0.20527999999999999</v>
      </c>
      <c r="O28" s="13">
        <v>2.5165600000000001</v>
      </c>
      <c r="P28" s="52">
        <v>6.6580000000000004</v>
      </c>
      <c r="Q28" s="13">
        <v>2.3441999999999998</v>
      </c>
      <c r="R28" s="13">
        <f>O28+P28</f>
        <v>9.1745599999999996</v>
      </c>
      <c r="S28" s="13"/>
      <c r="T28" s="18"/>
      <c r="U28" s="13">
        <f>M28/N28</f>
        <v>1.4195245518316446</v>
      </c>
      <c r="V28" s="18">
        <f>O28/P28</f>
        <v>0.37797536797837189</v>
      </c>
      <c r="W28" t="s">
        <v>154</v>
      </c>
      <c r="Y28" t="s">
        <v>46</v>
      </c>
      <c r="Z28" t="s">
        <v>33</v>
      </c>
      <c r="AB28" s="2"/>
      <c r="AC28">
        <v>31.5</v>
      </c>
      <c r="AD28" s="5">
        <v>200000</v>
      </c>
      <c r="AE28">
        <v>1.678E-3</v>
      </c>
      <c r="AF28">
        <v>35.200000000000003</v>
      </c>
      <c r="AG28" s="2"/>
      <c r="AH28" s="23" t="s">
        <v>439</v>
      </c>
      <c r="AI28" s="49" t="s">
        <v>155</v>
      </c>
      <c r="AJ28" s="64" t="s">
        <v>456</v>
      </c>
      <c r="AK28" s="64" t="s">
        <v>513</v>
      </c>
    </row>
    <row r="29" spans="1:37" x14ac:dyDescent="0.2">
      <c r="B29" s="62" t="s">
        <v>174</v>
      </c>
      <c r="C29">
        <v>45.029000000000003</v>
      </c>
      <c r="E29">
        <v>105.90300000000001</v>
      </c>
      <c r="F29" s="28"/>
      <c r="J29" s="2"/>
      <c r="L29" s="2">
        <v>33</v>
      </c>
      <c r="M29" s="13">
        <v>45.029000000000003</v>
      </c>
      <c r="N29" s="13"/>
      <c r="O29" s="13">
        <v>105.90300000000001</v>
      </c>
      <c r="P29" s="52"/>
      <c r="Q29" s="13"/>
      <c r="R29" s="13"/>
      <c r="S29" s="13"/>
      <c r="T29" s="13"/>
      <c r="U29" s="13"/>
      <c r="V29" s="18"/>
      <c r="W29" s="24" t="s">
        <v>154</v>
      </c>
      <c r="X29">
        <v>14</v>
      </c>
      <c r="Y29" t="s">
        <v>46</v>
      </c>
      <c r="Z29" t="s">
        <v>51</v>
      </c>
      <c r="AC29" s="24">
        <v>57</v>
      </c>
      <c r="AD29" s="5">
        <v>1100000</v>
      </c>
      <c r="AF29">
        <v>39</v>
      </c>
      <c r="AG29" s="2"/>
      <c r="AH29" s="23" t="s">
        <v>175</v>
      </c>
      <c r="AI29" s="49" t="s">
        <v>155</v>
      </c>
      <c r="AJ29" s="64" t="s">
        <v>456</v>
      </c>
      <c r="AK29" s="64" t="s">
        <v>513</v>
      </c>
    </row>
    <row r="30" spans="1:37" x14ac:dyDescent="0.2">
      <c r="A30" t="s">
        <v>427</v>
      </c>
      <c r="B30" s="63" t="s">
        <v>385</v>
      </c>
      <c r="C30" s="13">
        <v>2.8260000000000001</v>
      </c>
      <c r="D30" s="13">
        <v>0.312</v>
      </c>
      <c r="E30" s="13">
        <v>25.536999999999999</v>
      </c>
      <c r="F30" s="59">
        <v>6.7670000000000003</v>
      </c>
      <c r="H30">
        <f>E30+F30</f>
        <v>32.304000000000002</v>
      </c>
      <c r="J30" s="2"/>
      <c r="L30" s="2"/>
      <c r="M30" s="13"/>
      <c r="N30" s="13"/>
      <c r="O30" s="13"/>
      <c r="P30" s="52"/>
      <c r="Q30" s="13"/>
      <c r="R30" s="13"/>
      <c r="S30" s="13"/>
      <c r="T30" s="18"/>
      <c r="U30" s="13"/>
      <c r="V30" s="18"/>
      <c r="W30" s="13" t="s">
        <v>154</v>
      </c>
      <c r="X30" s="13"/>
      <c r="Y30" s="13" t="s">
        <v>46</v>
      </c>
      <c r="Z30" s="13" t="s">
        <v>51</v>
      </c>
      <c r="AA30" s="13"/>
      <c r="AB30" s="18"/>
      <c r="AC30" s="60">
        <v>27</v>
      </c>
      <c r="AD30" s="19">
        <v>25850</v>
      </c>
      <c r="AE30" s="13">
        <v>3.6700000000000001E-3</v>
      </c>
      <c r="AF30" s="13">
        <v>37.5</v>
      </c>
      <c r="AG30" s="18"/>
      <c r="AH30" s="61"/>
      <c r="AI30" s="10" t="s">
        <v>155</v>
      </c>
      <c r="AJ30" s="65" t="s">
        <v>456</v>
      </c>
      <c r="AK30" s="64" t="s">
        <v>513</v>
      </c>
    </row>
    <row r="31" spans="1:37" x14ac:dyDescent="0.2">
      <c r="B31" s="62" t="s">
        <v>255</v>
      </c>
      <c r="C31">
        <v>97.421999999999997</v>
      </c>
      <c r="E31">
        <v>1981.5070000000001</v>
      </c>
      <c r="F31" s="28"/>
      <c r="J31" s="2"/>
      <c r="L31" s="2"/>
      <c r="M31" s="13">
        <v>38.968800000000002</v>
      </c>
      <c r="N31" s="13"/>
      <c r="O31" s="13">
        <v>792.60299999999995</v>
      </c>
      <c r="P31" s="52"/>
      <c r="Q31" s="13"/>
      <c r="R31" s="13"/>
      <c r="S31" s="13"/>
      <c r="T31" s="18"/>
      <c r="U31" s="13"/>
      <c r="V31" s="13"/>
      <c r="W31" t="s">
        <v>154</v>
      </c>
      <c r="Y31" t="s">
        <v>46</v>
      </c>
      <c r="Z31" t="s">
        <v>33</v>
      </c>
      <c r="AB31" s="2"/>
      <c r="AC31">
        <v>35.9</v>
      </c>
      <c r="AD31" s="5">
        <v>46000</v>
      </c>
      <c r="AF31">
        <v>38.1</v>
      </c>
      <c r="AG31" s="2"/>
      <c r="AH31" s="23" t="s">
        <v>256</v>
      </c>
      <c r="AI31" s="10" t="s">
        <v>155</v>
      </c>
      <c r="AJ31" s="65" t="s">
        <v>456</v>
      </c>
      <c r="AK31" s="64" t="s">
        <v>513</v>
      </c>
    </row>
    <row r="32" spans="1:37" x14ac:dyDescent="0.2">
      <c r="B32" s="62" t="s">
        <v>257</v>
      </c>
      <c r="C32">
        <v>45.469000000000001</v>
      </c>
      <c r="E32">
        <v>228.89965000000001</v>
      </c>
      <c r="F32" s="28"/>
      <c r="J32" s="2"/>
      <c r="L32" s="2"/>
      <c r="M32" s="13">
        <v>45.469000000000001</v>
      </c>
      <c r="N32" s="13"/>
      <c r="O32" s="13">
        <v>228.89965000000001</v>
      </c>
      <c r="P32" s="52"/>
      <c r="Q32" s="13"/>
      <c r="R32" s="13"/>
      <c r="S32" s="13"/>
      <c r="T32" s="18"/>
      <c r="U32" s="13"/>
      <c r="V32" s="13"/>
      <c r="W32" t="s">
        <v>154</v>
      </c>
      <c r="Y32" t="s">
        <v>46</v>
      </c>
      <c r="Z32" t="s">
        <v>51</v>
      </c>
      <c r="AB32" s="2"/>
      <c r="AC32">
        <v>17.3</v>
      </c>
      <c r="AD32" s="5">
        <v>43000</v>
      </c>
      <c r="AG32" s="2" t="s">
        <v>35</v>
      </c>
      <c r="AH32" s="23" t="s">
        <v>258</v>
      </c>
      <c r="AI32" s="10" t="s">
        <v>155</v>
      </c>
      <c r="AJ32" s="65" t="s">
        <v>456</v>
      </c>
      <c r="AK32" s="64" t="s">
        <v>513</v>
      </c>
    </row>
    <row r="33" spans="1:37" x14ac:dyDescent="0.2">
      <c r="B33" s="62" t="s">
        <v>265</v>
      </c>
      <c r="C33">
        <v>83.043000000000006</v>
      </c>
      <c r="E33">
        <v>184.65899999999999</v>
      </c>
      <c r="F33" s="28"/>
      <c r="J33" s="2"/>
      <c r="L33" s="2"/>
      <c r="M33" s="13">
        <v>83.043000000000006</v>
      </c>
      <c r="N33" s="13"/>
      <c r="O33" s="13">
        <v>184.65899999999999</v>
      </c>
      <c r="P33" s="52"/>
      <c r="Q33" s="13"/>
      <c r="R33" s="13"/>
      <c r="S33" s="13"/>
      <c r="T33" s="13"/>
      <c r="U33" s="13"/>
      <c r="V33" s="13"/>
      <c r="W33" s="24" t="s">
        <v>154</v>
      </c>
      <c r="Y33" t="s">
        <v>46</v>
      </c>
      <c r="Z33" t="s">
        <v>51</v>
      </c>
      <c r="AB33" s="2"/>
      <c r="AC33" s="24">
        <v>27.5</v>
      </c>
      <c r="AD33" s="5">
        <v>177500</v>
      </c>
      <c r="AG33" s="2" t="s">
        <v>35</v>
      </c>
      <c r="AH33" s="23" t="s">
        <v>258</v>
      </c>
      <c r="AI33" s="10" t="s">
        <v>155</v>
      </c>
      <c r="AJ33" s="65" t="s">
        <v>456</v>
      </c>
      <c r="AK33" s="64" t="s">
        <v>513</v>
      </c>
    </row>
    <row r="34" spans="1:37" x14ac:dyDescent="0.2">
      <c r="A34" t="s">
        <v>28</v>
      </c>
      <c r="B34" s="62" t="s">
        <v>172</v>
      </c>
      <c r="F34" s="28"/>
      <c r="J34" s="2"/>
      <c r="L34" s="2"/>
      <c r="M34" s="13"/>
      <c r="N34" s="13"/>
      <c r="O34" s="13"/>
      <c r="P34" s="52"/>
      <c r="Q34" s="13"/>
      <c r="R34" s="13"/>
      <c r="S34" s="13"/>
      <c r="T34" s="18"/>
      <c r="U34" s="13"/>
      <c r="V34" s="13"/>
      <c r="W34" s="24" t="s">
        <v>168</v>
      </c>
      <c r="X34">
        <v>14</v>
      </c>
      <c r="Y34" t="s">
        <v>46</v>
      </c>
      <c r="Z34" t="s">
        <v>33</v>
      </c>
      <c r="AB34" s="2"/>
      <c r="AD34" s="5">
        <v>17400</v>
      </c>
      <c r="AG34" s="2" t="s">
        <v>35</v>
      </c>
      <c r="AH34" s="23" t="s">
        <v>173</v>
      </c>
      <c r="AI34" s="49" t="s">
        <v>155</v>
      </c>
      <c r="AJ34" s="64" t="s">
        <v>456</v>
      </c>
      <c r="AK34" s="64" t="s">
        <v>513</v>
      </c>
    </row>
    <row r="35" spans="1:37" ht="15.75" customHeight="1" x14ac:dyDescent="0.2">
      <c r="B35" s="62" t="s">
        <v>440</v>
      </c>
      <c r="F35" s="2"/>
      <c r="G35" s="2"/>
      <c r="H35" s="2"/>
      <c r="I35" s="2"/>
      <c r="J35" s="2"/>
      <c r="L35" s="2"/>
      <c r="M35" s="13"/>
      <c r="N35" s="13"/>
      <c r="O35" s="13"/>
      <c r="P35" s="18"/>
      <c r="Q35" s="18"/>
      <c r="R35" s="18"/>
      <c r="S35" s="18"/>
      <c r="T35" s="18"/>
      <c r="U35" s="18"/>
      <c r="V35" s="18"/>
      <c r="W35" s="2"/>
      <c r="AB35" s="2"/>
      <c r="AC35" s="2"/>
      <c r="AG35" s="2"/>
      <c r="AH35" s="23"/>
    </row>
  </sheetData>
  <mergeCells count="3">
    <mergeCell ref="B1:E1"/>
    <mergeCell ref="F1:K1"/>
    <mergeCell ref="L1:P1"/>
  </mergeCells>
  <hyperlinks>
    <hyperlink ref="R6" r:id="rId1" xr:uid="{1E83A032-1808-1441-9C27-64F39155263F}"/>
    <hyperlink ref="R9" r:id="rId2" xr:uid="{7B15CDDA-18F7-FC49-BBFC-84B971FC3755}"/>
    <hyperlink ref="R16" r:id="rId3" xr:uid="{C7B40017-5040-C042-ABA6-8A59192217B4}"/>
    <hyperlink ref="R18" r:id="rId4" xr:uid="{10836762-6223-2242-830C-F8EDDBBF3CC0}"/>
    <hyperlink ref="R21" r:id="rId5" xr:uid="{03DF68D3-E5AF-2E44-93D8-E6D8BDD4A00A}"/>
    <hyperlink ref="R23" r:id="rId6" location="Tab3" xr:uid="{11B3319B-7565-3646-9BA7-B3560B79B2E0}"/>
    <hyperlink ref="AI28" r:id="rId7" xr:uid="{1A5C6A16-D738-AF47-81F1-D4A024B6224D}"/>
    <hyperlink ref="AI29" r:id="rId8" xr:uid="{A95DD4C6-06F8-B44B-A04C-EC9B91931FD8}"/>
    <hyperlink ref="AI30" r:id="rId9" xr:uid="{2161FB1C-EE84-2246-A7E9-DFA058DCB9B1}"/>
    <hyperlink ref="AI31" r:id="rId10" xr:uid="{328ACF95-5196-2840-9138-D19A37FA1A71}"/>
    <hyperlink ref="AI32" r:id="rId11" xr:uid="{E15A488D-06A2-3546-89DF-1C3553DA3616}"/>
    <hyperlink ref="AI33" r:id="rId12" xr:uid="{609D717C-C44D-4D41-9F05-DF3C1632A742}"/>
    <hyperlink ref="AI34" r:id="rId13" xr:uid="{45D4E4F2-DCB5-974D-8C73-A1A315BE6BE5}"/>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Main Data Sheet</vt:lpstr>
      <vt:lpstr>Corrected &amp; Uncorrected Graphs</vt:lpstr>
      <vt:lpstr>Sheet4</vt:lpstr>
      <vt:lpstr>New &amp; Old World Primate Graphs</vt:lpstr>
      <vt:lpstr>EIA Key</vt:lpstr>
      <vt:lpstr>Poster Graphs</vt:lpstr>
      <vt:lpstr>Old Data Sheet</vt:lpstr>
      <vt:lpstr>Old Graphs</vt:lpstr>
      <vt:lpstr>Practice Data Sheet (Graphing)</vt:lpstr>
      <vt:lpstr>Marsupials and Marine Mammals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cp:revision/>
  <dcterms:created xsi:type="dcterms:W3CDTF">2023-09-11T18:00:37Z</dcterms:created>
  <dcterms:modified xsi:type="dcterms:W3CDTF">2025-01-16T19:51:12Z</dcterms:modified>
  <cp:category/>
  <cp:contentStatus/>
</cp:coreProperties>
</file>